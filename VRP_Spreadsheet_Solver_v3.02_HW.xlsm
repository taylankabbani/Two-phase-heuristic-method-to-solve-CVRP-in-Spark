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43b8714300244e8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c52078776c85d30/Documents/Data Science/Heuristic Methods/HW1_CVRP/"/>
    </mc:Choice>
  </mc:AlternateContent>
  <xr:revisionPtr revIDLastSave="41576" documentId="11_FBFF8DDB41118534EA5E0ABC0229B4A305B34242" xr6:coauthVersionLast="45" xr6:coauthVersionMax="45" xr10:uidLastSave="{52CDDD8B-2B4D-427A-A20C-3AE79E2D3D13}"/>
  <bookViews>
    <workbookView xWindow="-120" yWindow="-120" windowWidth="20730" windowHeight="11760" tabRatio="705" activeTab="4" xr2:uid="{00000000-000D-0000-FFFF-FFFF00000000}"/>
  </bookViews>
  <sheets>
    <sheet name="VRP Solver Console" sheetId="231" r:id="rId1"/>
    <sheet name="1.Locations" sheetId="237" r:id="rId2"/>
    <sheet name="2.Distances" sheetId="238" r:id="rId3"/>
    <sheet name="3.Vehicles" sheetId="239" r:id="rId4"/>
    <sheet name="4.Solution" sheetId="240" r:id="rId5"/>
    <sheet name="5.Visualization" sheetId="241" r:id="rId6"/>
  </sheets>
  <functionGroups builtInGroupCount="19"/>
  <calcPr calcId="191029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L3" i="240" l="1"/>
  <c r="EN5" i="240"/>
  <c r="EG5" i="240"/>
  <c r="DW3" i="240"/>
  <c r="DY5" i="240"/>
  <c r="DR5" i="240"/>
  <c r="DH3" i="240"/>
  <c r="DJ5" i="240"/>
  <c r="DC5" i="240"/>
  <c r="CS3" i="240"/>
  <c r="CU5" i="240"/>
  <c r="CN5" i="240"/>
  <c r="CD3" i="240"/>
  <c r="CF5" i="240"/>
  <c r="BY5" i="240"/>
  <c r="BO3" i="240"/>
  <c r="BQ5" i="240"/>
  <c r="BJ5" i="240"/>
  <c r="AZ3" i="240"/>
  <c r="BB5" i="240"/>
  <c r="AU5" i="240"/>
  <c r="AK3" i="240"/>
  <c r="AM5" i="240"/>
  <c r="AF5" i="240"/>
  <c r="V3" i="240"/>
  <c r="X5" i="240"/>
  <c r="Q5" i="240"/>
  <c r="G3" i="240"/>
  <c r="I5" i="240"/>
  <c r="B5" i="240"/>
  <c r="K2" i="239"/>
  <c r="EH36" i="240"/>
  <c r="EH35" i="240"/>
  <c r="EH34" i="240"/>
  <c r="EH33" i="240"/>
  <c r="EH32" i="240"/>
  <c r="EH31" i="240"/>
  <c r="EH30" i="240"/>
  <c r="EH29" i="240"/>
  <c r="EH28" i="240"/>
  <c r="EH27" i="240"/>
  <c r="EH26" i="240"/>
  <c r="EH25" i="240"/>
  <c r="EH24" i="240"/>
  <c r="EH23" i="240"/>
  <c r="EH22" i="240"/>
  <c r="EH21" i="240"/>
  <c r="EH17" i="240"/>
  <c r="EH13" i="240"/>
  <c r="EH10" i="240"/>
  <c r="EH18" i="240"/>
  <c r="EH14" i="240"/>
  <c r="EH8" i="240"/>
  <c r="EH7" i="240"/>
  <c r="EH6" i="240"/>
  <c r="EH5" i="240"/>
  <c r="DS36" i="240"/>
  <c r="DS35" i="240"/>
  <c r="DS34" i="240"/>
  <c r="DS33" i="240"/>
  <c r="DS32" i="240"/>
  <c r="DS31" i="240"/>
  <c r="DS30" i="240"/>
  <c r="DS29" i="240"/>
  <c r="DS28" i="240"/>
  <c r="DS27" i="240"/>
  <c r="DS26" i="240"/>
  <c r="DS25" i="240"/>
  <c r="DS24" i="240"/>
  <c r="DS23" i="240"/>
  <c r="DS22" i="240"/>
  <c r="DS21" i="240"/>
  <c r="DS20" i="240"/>
  <c r="DS19" i="240"/>
  <c r="DS18" i="240"/>
  <c r="DS17" i="240"/>
  <c r="EN3" i="240"/>
  <c r="EH20" i="240"/>
  <c r="EH19" i="240"/>
  <c r="EH11" i="240"/>
  <c r="EH16" i="240"/>
  <c r="DS16" i="240"/>
  <c r="EH15" i="240"/>
  <c r="EH9" i="240"/>
  <c r="DS15" i="240"/>
  <c r="DS14" i="240"/>
  <c r="DS13" i="240"/>
  <c r="DS12" i="240"/>
  <c r="DS11" i="240"/>
  <c r="DS10" i="240"/>
  <c r="DS9" i="240"/>
  <c r="DS8" i="240"/>
  <c r="DS7" i="240"/>
  <c r="DS6" i="240"/>
  <c r="DS5" i="240"/>
  <c r="DD36" i="240"/>
  <c r="DD35" i="240"/>
  <c r="DD34" i="240"/>
  <c r="DD33" i="240"/>
  <c r="DD32" i="240"/>
  <c r="DD31" i="240"/>
  <c r="DD30" i="240"/>
  <c r="DD29" i="240"/>
  <c r="DD28" i="240"/>
  <c r="DD27" i="240"/>
  <c r="DD26" i="240"/>
  <c r="DD25" i="240"/>
  <c r="DD24" i="240"/>
  <c r="DD23" i="240"/>
  <c r="DD22" i="240"/>
  <c r="DD21" i="240"/>
  <c r="DD20" i="240"/>
  <c r="DD19" i="240"/>
  <c r="DD18" i="240"/>
  <c r="DD17" i="240"/>
  <c r="DD16" i="240"/>
  <c r="DD15" i="240"/>
  <c r="DD14" i="240"/>
  <c r="DD13" i="240"/>
  <c r="DD12" i="240"/>
  <c r="DD11" i="240"/>
  <c r="DD10" i="240"/>
  <c r="DD9" i="240"/>
  <c r="DD8" i="240"/>
  <c r="EH12" i="240"/>
  <c r="DD7" i="240"/>
  <c r="DD5" i="240"/>
  <c r="DD6" i="240"/>
  <c r="CU3" i="240"/>
  <c r="DY3" i="240"/>
  <c r="CO35" i="240"/>
  <c r="CO34" i="240"/>
  <c r="CO33" i="240"/>
  <c r="CO32" i="240"/>
  <c r="CO31" i="240"/>
  <c r="CO30" i="240"/>
  <c r="CO29" i="240"/>
  <c r="CO28" i="240"/>
  <c r="CO27" i="240"/>
  <c r="CO26" i="240"/>
  <c r="CO25" i="240"/>
  <c r="CO24" i="240"/>
  <c r="CO23" i="240"/>
  <c r="CO22" i="240"/>
  <c r="CO21" i="240"/>
  <c r="CO20" i="240"/>
  <c r="CO19" i="240"/>
  <c r="CO18" i="240"/>
  <c r="CO17" i="240"/>
  <c r="CO16" i="240"/>
  <c r="CO15" i="240"/>
  <c r="CO14" i="240"/>
  <c r="CO13" i="240"/>
  <c r="CO12" i="240"/>
  <c r="CO11" i="240"/>
  <c r="CO10" i="240"/>
  <c r="CO9" i="240"/>
  <c r="CO8" i="240"/>
  <c r="CO7" i="240"/>
  <c r="CO6" i="240"/>
  <c r="CO5" i="240"/>
  <c r="BZ36" i="240"/>
  <c r="BZ35" i="240"/>
  <c r="BZ34" i="240"/>
  <c r="BZ33" i="240"/>
  <c r="CO36" i="240"/>
  <c r="BZ31" i="240"/>
  <c r="BZ27" i="240"/>
  <c r="BZ23" i="240"/>
  <c r="BZ19" i="240"/>
  <c r="DJ3" i="240"/>
  <c r="BZ29" i="240"/>
  <c r="BZ25" i="240"/>
  <c r="BZ21" i="240"/>
  <c r="BZ17" i="240"/>
  <c r="BZ32" i="240"/>
  <c r="BZ28" i="240"/>
  <c r="BZ24" i="240"/>
  <c r="BZ20" i="240"/>
  <c r="BZ16" i="240"/>
  <c r="BZ18" i="240"/>
  <c r="BK35" i="240"/>
  <c r="BK33" i="240"/>
  <c r="BK31" i="240"/>
  <c r="BK29" i="240"/>
  <c r="BK27" i="240"/>
  <c r="BK25" i="240"/>
  <c r="BK23" i="240"/>
  <c r="BK21" i="240"/>
  <c r="BK19" i="240"/>
  <c r="BK17" i="240"/>
  <c r="BK15" i="240"/>
  <c r="BK13" i="240"/>
  <c r="BK11" i="240"/>
  <c r="BZ30" i="240"/>
  <c r="BZ15" i="240"/>
  <c r="BZ13" i="240"/>
  <c r="BZ11" i="240"/>
  <c r="BZ9" i="240"/>
  <c r="BZ7" i="240"/>
  <c r="BZ5" i="240"/>
  <c r="BK10" i="240"/>
  <c r="BZ26" i="240"/>
  <c r="BK36" i="240"/>
  <c r="BK34" i="240"/>
  <c r="BK32" i="240"/>
  <c r="BK30" i="240"/>
  <c r="BK28" i="240"/>
  <c r="BK26" i="240"/>
  <c r="BK24" i="240"/>
  <c r="BK22" i="240"/>
  <c r="BK20" i="240"/>
  <c r="BK18" i="240"/>
  <c r="BK16" i="240"/>
  <c r="BK14" i="240"/>
  <c r="BK12" i="240"/>
  <c r="BK9" i="240"/>
  <c r="BZ22" i="240"/>
  <c r="BZ14" i="240"/>
  <c r="BZ12" i="240"/>
  <c r="BZ10" i="240"/>
  <c r="BZ8" i="240"/>
  <c r="BZ6" i="240"/>
  <c r="BK8" i="240"/>
  <c r="BK7" i="240"/>
  <c r="BK6" i="240"/>
  <c r="BK5" i="240"/>
  <c r="AV36" i="240"/>
  <c r="AV35" i="240"/>
  <c r="AV34" i="240"/>
  <c r="AV33" i="240"/>
  <c r="AV32" i="240"/>
  <c r="AV31" i="240"/>
  <c r="AV30" i="240"/>
  <c r="AV29" i="240"/>
  <c r="AV28" i="240"/>
  <c r="AV27" i="240"/>
  <c r="AV26" i="240"/>
  <c r="AV25" i="240"/>
  <c r="AV24" i="240"/>
  <c r="AV23" i="240"/>
  <c r="AV22" i="240"/>
  <c r="AV21" i="240"/>
  <c r="AV20" i="240"/>
  <c r="AV19" i="240"/>
  <c r="AV18" i="240"/>
  <c r="AV17" i="240"/>
  <c r="AV16" i="240"/>
  <c r="AV15" i="240"/>
  <c r="AV14" i="240"/>
  <c r="AV13" i="240"/>
  <c r="AV12" i="240"/>
  <c r="AV11" i="240"/>
  <c r="AV10" i="240"/>
  <c r="AV9" i="240"/>
  <c r="AV8" i="240"/>
  <c r="AV6" i="240"/>
  <c r="AG36" i="240"/>
  <c r="AG35" i="240"/>
  <c r="AV7" i="240"/>
  <c r="AV5" i="240"/>
  <c r="AG34" i="240"/>
  <c r="AG33" i="240"/>
  <c r="AG32" i="240"/>
  <c r="AG31" i="240"/>
  <c r="AG30" i="240"/>
  <c r="AG29" i="240"/>
  <c r="AG28" i="240"/>
  <c r="AG27" i="240"/>
  <c r="AG26" i="240"/>
  <c r="AG25" i="240"/>
  <c r="AG24" i="240"/>
  <c r="AG23" i="240"/>
  <c r="AG22" i="240"/>
  <c r="AG21" i="240"/>
  <c r="AG20" i="240"/>
  <c r="AG19" i="240"/>
  <c r="AG18" i="240"/>
  <c r="AG17" i="240"/>
  <c r="AG16" i="240"/>
  <c r="AG15" i="240"/>
  <c r="AG14" i="240"/>
  <c r="AG13" i="240"/>
  <c r="AG12" i="240"/>
  <c r="AG11" i="240"/>
  <c r="AG10" i="240"/>
  <c r="AG9" i="240"/>
  <c r="AG8" i="240"/>
  <c r="AG7" i="240"/>
  <c r="AG6" i="240"/>
  <c r="AG5" i="240"/>
  <c r="R36" i="240"/>
  <c r="R35" i="240"/>
  <c r="R34" i="240"/>
  <c r="R33" i="240"/>
  <c r="R32" i="240"/>
  <c r="R31" i="240"/>
  <c r="R30" i="240"/>
  <c r="R29" i="240"/>
  <c r="R28" i="240"/>
  <c r="R27" i="240"/>
  <c r="R26" i="240"/>
  <c r="R25" i="240"/>
  <c r="R24" i="240"/>
  <c r="R23" i="240"/>
  <c r="R21" i="240"/>
  <c r="R17" i="240"/>
  <c r="R13" i="240"/>
  <c r="R11" i="240"/>
  <c r="R8" i="240"/>
  <c r="R22" i="240"/>
  <c r="R18" i="240"/>
  <c r="R14" i="240"/>
  <c r="R7" i="240"/>
  <c r="R5" i="240"/>
  <c r="C36" i="240"/>
  <c r="R19" i="240"/>
  <c r="R15" i="240"/>
  <c r="R10" i="240"/>
  <c r="R6" i="240"/>
  <c r="C6" i="240"/>
  <c r="R20" i="240"/>
  <c r="R16" i="240"/>
  <c r="R12" i="240"/>
  <c r="R9" i="240"/>
  <c r="C35" i="240"/>
  <c r="C34" i="240"/>
  <c r="C33" i="240"/>
  <c r="C32" i="240"/>
  <c r="C31" i="240"/>
  <c r="C30" i="240"/>
  <c r="C29" i="240"/>
  <c r="C28" i="240"/>
  <c r="C27" i="240"/>
  <c r="C26" i="240"/>
  <c r="C25" i="240"/>
  <c r="C24" i="240"/>
  <c r="C23" i="240"/>
  <c r="C22" i="240"/>
  <c r="C21" i="240"/>
  <c r="C20" i="240"/>
  <c r="C19" i="240"/>
  <c r="C18" i="240"/>
  <c r="C17" i="240"/>
  <c r="C16" i="240"/>
  <c r="C15" i="240"/>
  <c r="C14" i="240"/>
  <c r="C13" i="240"/>
  <c r="C12" i="240"/>
  <c r="C11" i="240"/>
  <c r="C10" i="240"/>
  <c r="C9" i="240"/>
  <c r="C8" i="240"/>
  <c r="C7" i="240"/>
  <c r="C5" i="240"/>
  <c r="E5" i="240" l="1"/>
  <c r="D5" i="240"/>
  <c r="M7" i="240"/>
  <c r="E7" i="240"/>
  <c r="L7" i="240"/>
  <c r="D7" i="240"/>
  <c r="M8" i="240"/>
  <c r="E8" i="240"/>
  <c r="L8" i="240"/>
  <c r="D8" i="240"/>
  <c r="M9" i="240"/>
  <c r="E9" i="240"/>
  <c r="L9" i="240"/>
  <c r="D9" i="240"/>
  <c r="M10" i="240"/>
  <c r="E10" i="240"/>
  <c r="L10" i="240"/>
  <c r="D10" i="240"/>
  <c r="M11" i="240"/>
  <c r="E11" i="240"/>
  <c r="L11" i="240"/>
  <c r="D11" i="240"/>
  <c r="M12" i="240"/>
  <c r="E12" i="240"/>
  <c r="L12" i="240"/>
  <c r="D12" i="240"/>
  <c r="M13" i="240"/>
  <c r="E13" i="240"/>
  <c r="L13" i="240"/>
  <c r="D13" i="240"/>
  <c r="M14" i="240"/>
  <c r="E14" i="240"/>
  <c r="L14" i="240"/>
  <c r="D14" i="240"/>
  <c r="N15" i="240"/>
  <c r="F15" i="240"/>
  <c r="M15" i="240"/>
  <c r="E15" i="240"/>
  <c r="L15" i="240"/>
  <c r="H15" i="240"/>
  <c r="I15" i="240" s="1"/>
  <c r="J15" i="240" s="1"/>
  <c r="D15" i="240"/>
  <c r="K15" i="240"/>
  <c r="G15" i="240"/>
  <c r="N16" i="240"/>
  <c r="F16" i="240"/>
  <c r="M16" i="240"/>
  <c r="E16" i="240"/>
  <c r="L16" i="240"/>
  <c r="H16" i="240"/>
  <c r="I16" i="240" s="1"/>
  <c r="J16" i="240" s="1"/>
  <c r="D16" i="240"/>
  <c r="K16" i="240"/>
  <c r="G16" i="240"/>
  <c r="N17" i="240"/>
  <c r="F17" i="240"/>
  <c r="M17" i="240"/>
  <c r="E17" i="240"/>
  <c r="L17" i="240"/>
  <c r="H17" i="240"/>
  <c r="I17" i="240" s="1"/>
  <c r="J17" i="240" s="1"/>
  <c r="D17" i="240"/>
  <c r="K17" i="240"/>
  <c r="G17" i="240"/>
  <c r="N18" i="240"/>
  <c r="F18" i="240"/>
  <c r="M18" i="240"/>
  <c r="E18" i="240"/>
  <c r="L18" i="240"/>
  <c r="H18" i="240"/>
  <c r="I18" i="240" s="1"/>
  <c r="J18" i="240" s="1"/>
  <c r="D18" i="240"/>
  <c r="K18" i="240"/>
  <c r="G18" i="240"/>
  <c r="N19" i="240"/>
  <c r="F19" i="240"/>
  <c r="M19" i="240"/>
  <c r="E19" i="240"/>
  <c r="L19" i="240"/>
  <c r="H19" i="240"/>
  <c r="I19" i="240" s="1"/>
  <c r="J19" i="240" s="1"/>
  <c r="D19" i="240"/>
  <c r="K19" i="240"/>
  <c r="G19" i="240"/>
  <c r="N20" i="240"/>
  <c r="F20" i="240"/>
  <c r="M20" i="240"/>
  <c r="E20" i="240"/>
  <c r="L20" i="240"/>
  <c r="H20" i="240"/>
  <c r="I20" i="240" s="1"/>
  <c r="J20" i="240" s="1"/>
  <c r="D20" i="240"/>
  <c r="K20" i="240"/>
  <c r="G20" i="240"/>
  <c r="N21" i="240"/>
  <c r="F21" i="240"/>
  <c r="M21" i="240"/>
  <c r="E21" i="240"/>
  <c r="L21" i="240"/>
  <c r="H21" i="240"/>
  <c r="I21" i="240" s="1"/>
  <c r="J21" i="240" s="1"/>
  <c r="D21" i="240"/>
  <c r="K21" i="240"/>
  <c r="G21" i="240"/>
  <c r="N22" i="240"/>
  <c r="F22" i="240"/>
  <c r="M22" i="240"/>
  <c r="E22" i="240"/>
  <c r="L22" i="240"/>
  <c r="H22" i="240"/>
  <c r="I22" i="240" s="1"/>
  <c r="J22" i="240" s="1"/>
  <c r="D22" i="240"/>
  <c r="K22" i="240"/>
  <c r="G22" i="240"/>
  <c r="N23" i="240"/>
  <c r="F23" i="240"/>
  <c r="M23" i="240"/>
  <c r="E23" i="240"/>
  <c r="L23" i="240"/>
  <c r="H23" i="240"/>
  <c r="I23" i="240" s="1"/>
  <c r="J23" i="240" s="1"/>
  <c r="D23" i="240"/>
  <c r="K23" i="240"/>
  <c r="G23" i="240"/>
  <c r="N24" i="240"/>
  <c r="F24" i="240"/>
  <c r="M24" i="240"/>
  <c r="E24" i="240"/>
  <c r="L24" i="240"/>
  <c r="H24" i="240"/>
  <c r="I24" i="240" s="1"/>
  <c r="J24" i="240" s="1"/>
  <c r="D24" i="240"/>
  <c r="K24" i="240"/>
  <c r="G24" i="240"/>
  <c r="N25" i="240"/>
  <c r="F25" i="240"/>
  <c r="M25" i="240"/>
  <c r="E25" i="240"/>
  <c r="L25" i="240"/>
  <c r="H25" i="240"/>
  <c r="I25" i="240" s="1"/>
  <c r="J25" i="240" s="1"/>
  <c r="D25" i="240"/>
  <c r="K25" i="240"/>
  <c r="G25" i="240"/>
  <c r="N26" i="240"/>
  <c r="F26" i="240"/>
  <c r="M26" i="240"/>
  <c r="E26" i="240"/>
  <c r="L26" i="240"/>
  <c r="H26" i="240"/>
  <c r="I26" i="240" s="1"/>
  <c r="J26" i="240" s="1"/>
  <c r="D26" i="240"/>
  <c r="K26" i="240"/>
  <c r="G26" i="240"/>
  <c r="N27" i="240"/>
  <c r="F27" i="240"/>
  <c r="M27" i="240"/>
  <c r="E27" i="240"/>
  <c r="L27" i="240"/>
  <c r="H27" i="240"/>
  <c r="I27" i="240" s="1"/>
  <c r="J27" i="240" s="1"/>
  <c r="D27" i="240"/>
  <c r="K27" i="240"/>
  <c r="G27" i="240"/>
  <c r="N28" i="240"/>
  <c r="F28" i="240"/>
  <c r="M28" i="240"/>
  <c r="E28" i="240"/>
  <c r="L28" i="240"/>
  <c r="H28" i="240"/>
  <c r="I28" i="240" s="1"/>
  <c r="J28" i="240" s="1"/>
  <c r="D28" i="240"/>
  <c r="K28" i="240"/>
  <c r="G28" i="240"/>
  <c r="N29" i="240"/>
  <c r="F29" i="240"/>
  <c r="M29" i="240"/>
  <c r="E29" i="240"/>
  <c r="L29" i="240"/>
  <c r="H29" i="240"/>
  <c r="I29" i="240" s="1"/>
  <c r="J29" i="240" s="1"/>
  <c r="D29" i="240"/>
  <c r="K29" i="240"/>
  <c r="G29" i="240"/>
  <c r="N30" i="240"/>
  <c r="F30" i="240"/>
  <c r="M30" i="240"/>
  <c r="E30" i="240"/>
  <c r="L30" i="240"/>
  <c r="H30" i="240"/>
  <c r="I30" i="240" s="1"/>
  <c r="J30" i="240" s="1"/>
  <c r="D30" i="240"/>
  <c r="K30" i="240"/>
  <c r="G30" i="240"/>
  <c r="N31" i="240"/>
  <c r="F31" i="240"/>
  <c r="M31" i="240"/>
  <c r="E31" i="240"/>
  <c r="L31" i="240"/>
  <c r="H31" i="240"/>
  <c r="I31" i="240" s="1"/>
  <c r="J31" i="240" s="1"/>
  <c r="D31" i="240"/>
  <c r="K31" i="240"/>
  <c r="G31" i="240"/>
  <c r="N32" i="240"/>
  <c r="F32" i="240"/>
  <c r="M32" i="240"/>
  <c r="E32" i="240"/>
  <c r="L32" i="240"/>
  <c r="H32" i="240"/>
  <c r="I32" i="240" s="1"/>
  <c r="J32" i="240" s="1"/>
  <c r="D32" i="240"/>
  <c r="K32" i="240"/>
  <c r="G32" i="240"/>
  <c r="N33" i="240"/>
  <c r="F33" i="240"/>
  <c r="M33" i="240"/>
  <c r="E33" i="240"/>
  <c r="L33" i="240"/>
  <c r="H33" i="240"/>
  <c r="I33" i="240" s="1"/>
  <c r="J33" i="240" s="1"/>
  <c r="D33" i="240"/>
  <c r="K33" i="240"/>
  <c r="G33" i="240"/>
  <c r="N34" i="240"/>
  <c r="F34" i="240"/>
  <c r="M34" i="240"/>
  <c r="E34" i="240"/>
  <c r="L34" i="240"/>
  <c r="H34" i="240"/>
  <c r="I34" i="240" s="1"/>
  <c r="J34" i="240" s="1"/>
  <c r="D34" i="240"/>
  <c r="K34" i="240"/>
  <c r="G34" i="240"/>
  <c r="N35" i="240"/>
  <c r="K35" i="240"/>
  <c r="F35" i="240"/>
  <c r="E35" i="240"/>
  <c r="M35" i="240"/>
  <c r="H35" i="240"/>
  <c r="I35" i="240" s="1"/>
  <c r="J35" i="240" s="1"/>
  <c r="D35" i="240"/>
  <c r="L35" i="240"/>
  <c r="G35" i="240"/>
  <c r="AA9" i="240"/>
  <c r="T9" i="240"/>
  <c r="S9" i="240"/>
  <c r="AB9" i="240"/>
  <c r="AC12" i="240"/>
  <c r="U12" i="240"/>
  <c r="AB12" i="240"/>
  <c r="T12" i="240"/>
  <c r="AA12" i="240"/>
  <c r="W12" i="240"/>
  <c r="X12" i="240" s="1"/>
  <c r="Y12" i="240" s="1"/>
  <c r="S12" i="240"/>
  <c r="Z12" i="240"/>
  <c r="V12" i="240"/>
  <c r="AC16" i="240"/>
  <c r="U16" i="240"/>
  <c r="AB16" i="240"/>
  <c r="T16" i="240"/>
  <c r="AA16" i="240"/>
  <c r="W16" i="240"/>
  <c r="S16" i="240"/>
  <c r="Z16" i="240"/>
  <c r="V16" i="240"/>
  <c r="AC20" i="240"/>
  <c r="U20" i="240"/>
  <c r="AB20" i="240"/>
  <c r="T20" i="240"/>
  <c r="AA20" i="240"/>
  <c r="W20" i="240"/>
  <c r="X20" i="240" s="1"/>
  <c r="Y20" i="240" s="1"/>
  <c r="S20" i="240"/>
  <c r="Z20" i="240"/>
  <c r="V20" i="240"/>
  <c r="F6" i="240"/>
  <c r="F7" i="240" s="1"/>
  <c r="F8" i="240" s="1"/>
  <c r="F9" i="240" s="1"/>
  <c r="F10" i="240" s="1"/>
  <c r="F11" i="240" s="1"/>
  <c r="F12" i="240" s="1"/>
  <c r="F13" i="240" s="1"/>
  <c r="F14" i="240" s="1"/>
  <c r="M6" i="240"/>
  <c r="E6" i="240"/>
  <c r="L6" i="240"/>
  <c r="H6" i="240"/>
  <c r="I6" i="240" s="1"/>
  <c r="J6" i="240" s="1"/>
  <c r="D6" i="240"/>
  <c r="K6" i="240"/>
  <c r="K7" i="240" s="1"/>
  <c r="K8" i="240" s="1"/>
  <c r="K9" i="240" s="1"/>
  <c r="K10" i="240" s="1"/>
  <c r="K11" i="240" s="1"/>
  <c r="K12" i="240" s="1"/>
  <c r="K13" i="240" s="1"/>
  <c r="K14" i="240" s="1"/>
  <c r="G6" i="240"/>
  <c r="G7" i="240" s="1"/>
  <c r="G8" i="240" s="1"/>
  <c r="G9" i="240" s="1"/>
  <c r="G10" i="240" s="1"/>
  <c r="G11" i="240" s="1"/>
  <c r="G12" i="240" s="1"/>
  <c r="G13" i="240" s="1"/>
  <c r="G14" i="240" s="1"/>
  <c r="U6" i="240"/>
  <c r="U7" i="240" s="1"/>
  <c r="U8" i="240" s="1"/>
  <c r="U9" i="240" s="1"/>
  <c r="V39" i="240" s="1"/>
  <c r="Z6" i="240"/>
  <c r="Z7" i="240" s="1"/>
  <c r="Z8" i="240" s="1"/>
  <c r="Z9" i="240" s="1"/>
  <c r="T6" i="240"/>
  <c r="S6" i="240"/>
  <c r="AB6" i="240"/>
  <c r="W6" i="240"/>
  <c r="X6" i="240" s="1"/>
  <c r="Y6" i="240" s="1"/>
  <c r="AA6" i="240"/>
  <c r="V6" i="240"/>
  <c r="AC10" i="240"/>
  <c r="U10" i="240"/>
  <c r="AA10" i="240"/>
  <c r="W10" i="240"/>
  <c r="X10" i="240" s="1"/>
  <c r="Y10" i="240" s="1"/>
  <c r="S10" i="240"/>
  <c r="V10" i="240"/>
  <c r="AB10" i="240"/>
  <c r="T10" i="240"/>
  <c r="Z10" i="240"/>
  <c r="AC15" i="240"/>
  <c r="U15" i="240"/>
  <c r="AB15" i="240"/>
  <c r="T15" i="240"/>
  <c r="AA15" i="240"/>
  <c r="W15" i="240"/>
  <c r="X15" i="240" s="1"/>
  <c r="Y15" i="240" s="1"/>
  <c r="S15" i="240"/>
  <c r="Z15" i="240"/>
  <c r="V15" i="240"/>
  <c r="AC19" i="240"/>
  <c r="U19" i="240"/>
  <c r="AB19" i="240"/>
  <c r="T19" i="240"/>
  <c r="AA19" i="240"/>
  <c r="W19" i="240"/>
  <c r="X19" i="240" s="1"/>
  <c r="Y19" i="240" s="1"/>
  <c r="S19" i="240"/>
  <c r="Z19" i="240"/>
  <c r="V19" i="240"/>
  <c r="N36" i="240"/>
  <c r="F36" i="240"/>
  <c r="D36" i="240"/>
  <c r="M36" i="240"/>
  <c r="H36" i="240"/>
  <c r="I36" i="240" s="1"/>
  <c r="J36" i="240" s="1"/>
  <c r="L36" i="240"/>
  <c r="G36" i="240"/>
  <c r="K36" i="240"/>
  <c r="E36" i="240"/>
  <c r="X16" i="240"/>
  <c r="Y16" i="240" s="1"/>
  <c r="S5" i="240"/>
  <c r="T5" i="240"/>
  <c r="S7" i="240"/>
  <c r="AB7" i="240"/>
  <c r="AA7" i="240"/>
  <c r="V7" i="240"/>
  <c r="V8" i="240" s="1"/>
  <c r="V9" i="240" s="1"/>
  <c r="T7" i="240"/>
  <c r="AC14" i="240"/>
  <c r="U14" i="240"/>
  <c r="AB14" i="240"/>
  <c r="T14" i="240"/>
  <c r="AA14" i="240"/>
  <c r="W14" i="240"/>
  <c r="X14" i="240" s="1"/>
  <c r="Y14" i="240" s="1"/>
  <c r="S14" i="240"/>
  <c r="V14" i="240"/>
  <c r="Z14" i="240"/>
  <c r="AC18" i="240"/>
  <c r="U18" i="240"/>
  <c r="AB18" i="240"/>
  <c r="T18" i="240"/>
  <c r="AA18" i="240"/>
  <c r="W18" i="240"/>
  <c r="X18" i="240" s="1"/>
  <c r="Y18" i="240" s="1"/>
  <c r="S18" i="240"/>
  <c r="V18" i="240"/>
  <c r="Z18" i="240"/>
  <c r="AC22" i="240"/>
  <c r="U22" i="240"/>
  <c r="AB22" i="240"/>
  <c r="T22" i="240"/>
  <c r="AA22" i="240"/>
  <c r="W22" i="240"/>
  <c r="X22" i="240" s="1"/>
  <c r="Y22" i="240" s="1"/>
  <c r="S22" i="240"/>
  <c r="V22" i="240"/>
  <c r="Z22" i="240"/>
  <c r="AB8" i="240"/>
  <c r="AA8" i="240"/>
  <c r="T8" i="240"/>
  <c r="S8" i="240"/>
  <c r="AC11" i="240"/>
  <c r="U11" i="240"/>
  <c r="AB11" i="240"/>
  <c r="AA11" i="240"/>
  <c r="W11" i="240"/>
  <c r="X11" i="240" s="1"/>
  <c r="Y11" i="240" s="1"/>
  <c r="S11" i="240"/>
  <c r="Z11" i="240"/>
  <c r="V11" i="240"/>
  <c r="T11" i="240"/>
  <c r="AC13" i="240"/>
  <c r="U13" i="240"/>
  <c r="AB13" i="240"/>
  <c r="T13" i="240"/>
  <c r="AA13" i="240"/>
  <c r="W13" i="240"/>
  <c r="X13" i="240" s="1"/>
  <c r="Y13" i="240" s="1"/>
  <c r="S13" i="240"/>
  <c r="Z13" i="240"/>
  <c r="V13" i="240"/>
  <c r="AC17" i="240"/>
  <c r="U17" i="240"/>
  <c r="AB17" i="240"/>
  <c r="T17" i="240"/>
  <c r="AA17" i="240"/>
  <c r="W17" i="240"/>
  <c r="X17" i="240" s="1"/>
  <c r="Y17" i="240" s="1"/>
  <c r="S17" i="240"/>
  <c r="Z17" i="240"/>
  <c r="V17" i="240"/>
  <c r="AC21" i="240"/>
  <c r="U21" i="240"/>
  <c r="AB21" i="240"/>
  <c r="T21" i="240"/>
  <c r="AA21" i="240"/>
  <c r="W21" i="240"/>
  <c r="X21" i="240" s="1"/>
  <c r="Y21" i="240" s="1"/>
  <c r="S21" i="240"/>
  <c r="Z21" i="240"/>
  <c r="V21" i="240"/>
  <c r="AC23" i="240"/>
  <c r="U23" i="240"/>
  <c r="AB23" i="240"/>
  <c r="T23" i="240"/>
  <c r="AA23" i="240"/>
  <c r="W23" i="240"/>
  <c r="X23" i="240" s="1"/>
  <c r="Y23" i="240" s="1"/>
  <c r="S23" i="240"/>
  <c r="Z23" i="240"/>
  <c r="V23" i="240"/>
  <c r="AC24" i="240"/>
  <c r="U24" i="240"/>
  <c r="AB24" i="240"/>
  <c r="T24" i="240"/>
  <c r="AA24" i="240"/>
  <c r="W24" i="240"/>
  <c r="X24" i="240" s="1"/>
  <c r="Y24" i="240" s="1"/>
  <c r="S24" i="240"/>
  <c r="Z24" i="240"/>
  <c r="V24" i="240"/>
  <c r="AC25" i="240"/>
  <c r="U25" i="240"/>
  <c r="AB25" i="240"/>
  <c r="T25" i="240"/>
  <c r="AA25" i="240"/>
  <c r="W25" i="240"/>
  <c r="X25" i="240" s="1"/>
  <c r="Y25" i="240" s="1"/>
  <c r="S25" i="240"/>
  <c r="Z25" i="240"/>
  <c r="V25" i="240"/>
  <c r="AC26" i="240"/>
  <c r="U26" i="240"/>
  <c r="AB26" i="240"/>
  <c r="T26" i="240"/>
  <c r="AA26" i="240"/>
  <c r="W26" i="240"/>
  <c r="X26" i="240" s="1"/>
  <c r="Y26" i="240" s="1"/>
  <c r="S26" i="240"/>
  <c r="Z26" i="240"/>
  <c r="V26" i="240"/>
  <c r="AC27" i="240"/>
  <c r="U27" i="240"/>
  <c r="AB27" i="240"/>
  <c r="T27" i="240"/>
  <c r="AA27" i="240"/>
  <c r="W27" i="240"/>
  <c r="X27" i="240" s="1"/>
  <c r="Y27" i="240" s="1"/>
  <c r="S27" i="240"/>
  <c r="Z27" i="240"/>
  <c r="V27" i="240"/>
  <c r="AC28" i="240"/>
  <c r="U28" i="240"/>
  <c r="AB28" i="240"/>
  <c r="T28" i="240"/>
  <c r="AA28" i="240"/>
  <c r="W28" i="240"/>
  <c r="X28" i="240" s="1"/>
  <c r="Y28" i="240" s="1"/>
  <c r="S28" i="240"/>
  <c r="Z28" i="240"/>
  <c r="V28" i="240"/>
  <c r="AC29" i="240"/>
  <c r="U29" i="240"/>
  <c r="AB29" i="240"/>
  <c r="T29" i="240"/>
  <c r="AA29" i="240"/>
  <c r="W29" i="240"/>
  <c r="X29" i="240" s="1"/>
  <c r="Y29" i="240" s="1"/>
  <c r="S29" i="240"/>
  <c r="Z29" i="240"/>
  <c r="V29" i="240"/>
  <c r="AC30" i="240"/>
  <c r="U30" i="240"/>
  <c r="AB30" i="240"/>
  <c r="T30" i="240"/>
  <c r="AA30" i="240"/>
  <c r="W30" i="240"/>
  <c r="X30" i="240" s="1"/>
  <c r="Y30" i="240" s="1"/>
  <c r="S30" i="240"/>
  <c r="Z30" i="240"/>
  <c r="V30" i="240"/>
  <c r="AC31" i="240"/>
  <c r="U31" i="240"/>
  <c r="AB31" i="240"/>
  <c r="T31" i="240"/>
  <c r="AA31" i="240"/>
  <c r="W31" i="240"/>
  <c r="X31" i="240" s="1"/>
  <c r="Y31" i="240" s="1"/>
  <c r="S31" i="240"/>
  <c r="Z31" i="240"/>
  <c r="V31" i="240"/>
  <c r="AC32" i="240"/>
  <c r="U32" i="240"/>
  <c r="AB32" i="240"/>
  <c r="T32" i="240"/>
  <c r="AA32" i="240"/>
  <c r="W32" i="240"/>
  <c r="X32" i="240" s="1"/>
  <c r="Y32" i="240" s="1"/>
  <c r="S32" i="240"/>
  <c r="Z32" i="240"/>
  <c r="V32" i="240"/>
  <c r="AC33" i="240"/>
  <c r="U33" i="240"/>
  <c r="AB33" i="240"/>
  <c r="T33" i="240"/>
  <c r="AA33" i="240"/>
  <c r="W33" i="240"/>
  <c r="X33" i="240" s="1"/>
  <c r="Y33" i="240" s="1"/>
  <c r="S33" i="240"/>
  <c r="Z33" i="240"/>
  <c r="V33" i="240"/>
  <c r="AC34" i="240"/>
  <c r="U34" i="240"/>
  <c r="AB34" i="240"/>
  <c r="T34" i="240"/>
  <c r="AA34" i="240"/>
  <c r="W34" i="240"/>
  <c r="X34" i="240" s="1"/>
  <c r="Y34" i="240" s="1"/>
  <c r="S34" i="240"/>
  <c r="Z34" i="240"/>
  <c r="V34" i="240"/>
  <c r="AC35" i="240"/>
  <c r="U35" i="240"/>
  <c r="AB35" i="240"/>
  <c r="T35" i="240"/>
  <c r="AA35" i="240"/>
  <c r="W35" i="240"/>
  <c r="X35" i="240" s="1"/>
  <c r="Y35" i="240" s="1"/>
  <c r="S35" i="240"/>
  <c r="Z35" i="240"/>
  <c r="V35" i="240"/>
  <c r="AC36" i="240"/>
  <c r="U36" i="240"/>
  <c r="AB36" i="240"/>
  <c r="T36" i="240"/>
  <c r="AA36" i="240"/>
  <c r="W36" i="240"/>
  <c r="X36" i="240" s="1"/>
  <c r="Y36" i="240" s="1"/>
  <c r="S36" i="240"/>
  <c r="Z36" i="240"/>
  <c r="V36" i="240"/>
  <c r="AI5" i="240"/>
  <c r="AH5" i="240"/>
  <c r="AJ6" i="240"/>
  <c r="AJ7" i="240" s="1"/>
  <c r="AJ8" i="240" s="1"/>
  <c r="AJ9" i="240" s="1"/>
  <c r="AJ10" i="240" s="1"/>
  <c r="AJ11" i="240" s="1"/>
  <c r="AJ12" i="240" s="1"/>
  <c r="AJ13" i="240" s="1"/>
  <c r="AJ14" i="240" s="1"/>
  <c r="AQ6" i="240"/>
  <c r="AI6" i="240"/>
  <c r="AP6" i="240"/>
  <c r="AL6" i="240"/>
  <c r="AM6" i="240" s="1"/>
  <c r="AN6" i="240" s="1"/>
  <c r="AH6" i="240"/>
  <c r="AO6" i="240"/>
  <c r="AO7" i="240" s="1"/>
  <c r="AO8" i="240" s="1"/>
  <c r="AO9" i="240" s="1"/>
  <c r="AO10" i="240" s="1"/>
  <c r="AO11" i="240" s="1"/>
  <c r="AO12" i="240" s="1"/>
  <c r="AO13" i="240" s="1"/>
  <c r="AO14" i="240" s="1"/>
  <c r="AK6" i="240"/>
  <c r="AK7" i="240" s="1"/>
  <c r="AK8" i="240" s="1"/>
  <c r="AK9" i="240" s="1"/>
  <c r="AK10" i="240" s="1"/>
  <c r="AK11" i="240" s="1"/>
  <c r="AK12" i="240" s="1"/>
  <c r="AK13" i="240" s="1"/>
  <c r="AK14" i="240" s="1"/>
  <c r="AQ7" i="240"/>
  <c r="AI7" i="240"/>
  <c r="AP7" i="240"/>
  <c r="AH7" i="240"/>
  <c r="AQ8" i="240"/>
  <c r="AI8" i="240"/>
  <c r="AP8" i="240"/>
  <c r="AH8" i="240"/>
  <c r="AQ9" i="240"/>
  <c r="AI9" i="240"/>
  <c r="AP9" i="240"/>
  <c r="AH9" i="240"/>
  <c r="AQ10" i="240"/>
  <c r="AI10" i="240"/>
  <c r="AP10" i="240"/>
  <c r="AH10" i="240"/>
  <c r="AQ11" i="240"/>
  <c r="AI11" i="240"/>
  <c r="AP11" i="240"/>
  <c r="AH11" i="240"/>
  <c r="AQ12" i="240"/>
  <c r="AI12" i="240"/>
  <c r="AP12" i="240"/>
  <c r="AH12" i="240"/>
  <c r="AQ13" i="240"/>
  <c r="AI13" i="240"/>
  <c r="AP13" i="240"/>
  <c r="AH13" i="240"/>
  <c r="AQ14" i="240"/>
  <c r="AI14" i="240"/>
  <c r="AP14" i="240"/>
  <c r="AH14" i="240"/>
  <c r="AR15" i="240"/>
  <c r="AJ15" i="240"/>
  <c r="AQ15" i="240"/>
  <c r="AI15" i="240"/>
  <c r="AP15" i="240"/>
  <c r="AL15" i="240"/>
  <c r="AM15" i="240" s="1"/>
  <c r="AN15" i="240" s="1"/>
  <c r="AH15" i="240"/>
  <c r="AO15" i="240"/>
  <c r="AK15" i="240"/>
  <c r="AR16" i="240"/>
  <c r="AJ16" i="240"/>
  <c r="AQ16" i="240"/>
  <c r="AI16" i="240"/>
  <c r="AP16" i="240"/>
  <c r="AL16" i="240"/>
  <c r="AM16" i="240" s="1"/>
  <c r="AN16" i="240" s="1"/>
  <c r="AH16" i="240"/>
  <c r="AO16" i="240"/>
  <c r="AK16" i="240"/>
  <c r="AR17" i="240"/>
  <c r="AJ17" i="240"/>
  <c r="AQ17" i="240"/>
  <c r="AI17" i="240"/>
  <c r="AP17" i="240"/>
  <c r="AL17" i="240"/>
  <c r="AM17" i="240" s="1"/>
  <c r="AN17" i="240" s="1"/>
  <c r="AH17" i="240"/>
  <c r="AO17" i="240"/>
  <c r="AK17" i="240"/>
  <c r="AR18" i="240"/>
  <c r="AJ18" i="240"/>
  <c r="AQ18" i="240"/>
  <c r="AI18" i="240"/>
  <c r="AP18" i="240"/>
  <c r="AL18" i="240"/>
  <c r="AM18" i="240" s="1"/>
  <c r="AN18" i="240" s="1"/>
  <c r="AH18" i="240"/>
  <c r="AO18" i="240"/>
  <c r="AK18" i="240"/>
  <c r="AR19" i="240"/>
  <c r="AJ19" i="240"/>
  <c r="AQ19" i="240"/>
  <c r="AI19" i="240"/>
  <c r="AP19" i="240"/>
  <c r="AL19" i="240"/>
  <c r="AM19" i="240" s="1"/>
  <c r="AN19" i="240" s="1"/>
  <c r="AH19" i="240"/>
  <c r="AO19" i="240"/>
  <c r="AK19" i="240"/>
  <c r="AR20" i="240"/>
  <c r="AJ20" i="240"/>
  <c r="AQ20" i="240"/>
  <c r="AI20" i="240"/>
  <c r="AP20" i="240"/>
  <c r="AL20" i="240"/>
  <c r="AM20" i="240" s="1"/>
  <c r="AN20" i="240" s="1"/>
  <c r="AH20" i="240"/>
  <c r="AO20" i="240"/>
  <c r="AK20" i="240"/>
  <c r="AR21" i="240"/>
  <c r="AJ21" i="240"/>
  <c r="AQ21" i="240"/>
  <c r="AI21" i="240"/>
  <c r="AP21" i="240"/>
  <c r="AL21" i="240"/>
  <c r="AM21" i="240" s="1"/>
  <c r="AN21" i="240" s="1"/>
  <c r="AH21" i="240"/>
  <c r="AO21" i="240"/>
  <c r="AK21" i="240"/>
  <c r="AR22" i="240"/>
  <c r="AJ22" i="240"/>
  <c r="AQ22" i="240"/>
  <c r="AI22" i="240"/>
  <c r="AP22" i="240"/>
  <c r="AL22" i="240"/>
  <c r="AM22" i="240" s="1"/>
  <c r="AN22" i="240" s="1"/>
  <c r="AH22" i="240"/>
  <c r="AO22" i="240"/>
  <c r="AK22" i="240"/>
  <c r="AR23" i="240"/>
  <c r="AJ23" i="240"/>
  <c r="AQ23" i="240"/>
  <c r="AI23" i="240"/>
  <c r="AP23" i="240"/>
  <c r="AL23" i="240"/>
  <c r="AM23" i="240" s="1"/>
  <c r="AN23" i="240" s="1"/>
  <c r="AH23" i="240"/>
  <c r="AO23" i="240"/>
  <c r="AK23" i="240"/>
  <c r="AR24" i="240"/>
  <c r="AJ24" i="240"/>
  <c r="AQ24" i="240"/>
  <c r="AI24" i="240"/>
  <c r="AP24" i="240"/>
  <c r="AL24" i="240"/>
  <c r="AM24" i="240" s="1"/>
  <c r="AN24" i="240" s="1"/>
  <c r="AH24" i="240"/>
  <c r="AO24" i="240"/>
  <c r="AK24" i="240"/>
  <c r="AR25" i="240"/>
  <c r="AJ25" i="240"/>
  <c r="AQ25" i="240"/>
  <c r="AI25" i="240"/>
  <c r="AP25" i="240"/>
  <c r="AL25" i="240"/>
  <c r="AM25" i="240" s="1"/>
  <c r="AN25" i="240" s="1"/>
  <c r="AH25" i="240"/>
  <c r="AO25" i="240"/>
  <c r="AK25" i="240"/>
  <c r="AR26" i="240"/>
  <c r="AJ26" i="240"/>
  <c r="AQ26" i="240"/>
  <c r="AI26" i="240"/>
  <c r="AP26" i="240"/>
  <c r="AL26" i="240"/>
  <c r="AM26" i="240" s="1"/>
  <c r="AN26" i="240" s="1"/>
  <c r="AH26" i="240"/>
  <c r="AO26" i="240"/>
  <c r="AK26" i="240"/>
  <c r="AR27" i="240"/>
  <c r="AJ27" i="240"/>
  <c r="AQ27" i="240"/>
  <c r="AI27" i="240"/>
  <c r="AP27" i="240"/>
  <c r="AL27" i="240"/>
  <c r="AM27" i="240" s="1"/>
  <c r="AN27" i="240" s="1"/>
  <c r="AH27" i="240"/>
  <c r="AO27" i="240"/>
  <c r="AK27" i="240"/>
  <c r="AR28" i="240"/>
  <c r="AJ28" i="240"/>
  <c r="AQ28" i="240"/>
  <c r="AI28" i="240"/>
  <c r="AP28" i="240"/>
  <c r="AL28" i="240"/>
  <c r="AM28" i="240" s="1"/>
  <c r="AN28" i="240" s="1"/>
  <c r="AH28" i="240"/>
  <c r="AO28" i="240"/>
  <c r="AK28" i="240"/>
  <c r="AR29" i="240"/>
  <c r="AJ29" i="240"/>
  <c r="AQ29" i="240"/>
  <c r="AI29" i="240"/>
  <c r="AP29" i="240"/>
  <c r="AL29" i="240"/>
  <c r="AM29" i="240" s="1"/>
  <c r="AN29" i="240" s="1"/>
  <c r="AH29" i="240"/>
  <c r="AO29" i="240"/>
  <c r="AK29" i="240"/>
  <c r="AR30" i="240"/>
  <c r="AJ30" i="240"/>
  <c r="AQ30" i="240"/>
  <c r="AI30" i="240"/>
  <c r="AP30" i="240"/>
  <c r="AL30" i="240"/>
  <c r="AM30" i="240" s="1"/>
  <c r="AN30" i="240" s="1"/>
  <c r="AH30" i="240"/>
  <c r="AO30" i="240"/>
  <c r="AK30" i="240"/>
  <c r="AR31" i="240"/>
  <c r="AJ31" i="240"/>
  <c r="AQ31" i="240"/>
  <c r="AI31" i="240"/>
  <c r="AP31" i="240"/>
  <c r="AL31" i="240"/>
  <c r="AM31" i="240" s="1"/>
  <c r="AN31" i="240" s="1"/>
  <c r="AH31" i="240"/>
  <c r="AO31" i="240"/>
  <c r="AK31" i="240"/>
  <c r="AR32" i="240"/>
  <c r="AJ32" i="240"/>
  <c r="AQ32" i="240"/>
  <c r="AI32" i="240"/>
  <c r="AP32" i="240"/>
  <c r="AL32" i="240"/>
  <c r="AM32" i="240" s="1"/>
  <c r="AN32" i="240" s="1"/>
  <c r="AH32" i="240"/>
  <c r="AO32" i="240"/>
  <c r="AK32" i="240"/>
  <c r="AR33" i="240"/>
  <c r="AJ33" i="240"/>
  <c r="AQ33" i="240"/>
  <c r="AI33" i="240"/>
  <c r="AP33" i="240"/>
  <c r="AL33" i="240"/>
  <c r="AM33" i="240" s="1"/>
  <c r="AN33" i="240" s="1"/>
  <c r="AH33" i="240"/>
  <c r="AO33" i="240"/>
  <c r="AK33" i="240"/>
  <c r="AP34" i="240"/>
  <c r="AL34" i="240"/>
  <c r="AM34" i="240" s="1"/>
  <c r="AN34" i="240" s="1"/>
  <c r="AO34" i="240"/>
  <c r="AJ34" i="240"/>
  <c r="AI34" i="240"/>
  <c r="AR34" i="240"/>
  <c r="AH34" i="240"/>
  <c r="AQ34" i="240"/>
  <c r="AK34" i="240"/>
  <c r="AW5" i="240"/>
  <c r="AX5" i="240"/>
  <c r="BE7" i="240"/>
  <c r="AW7" i="240"/>
  <c r="BF7" i="240"/>
  <c r="AX7" i="240"/>
  <c r="AP35" i="240"/>
  <c r="AL35" i="240"/>
  <c r="AM35" i="240" s="1"/>
  <c r="AN35" i="240" s="1"/>
  <c r="AH35" i="240"/>
  <c r="AI35" i="240"/>
  <c r="AR35" i="240"/>
  <c r="AQ35" i="240"/>
  <c r="AK35" i="240"/>
  <c r="AO35" i="240"/>
  <c r="AJ35" i="240"/>
  <c r="AR36" i="240"/>
  <c r="AP36" i="240"/>
  <c r="AL36" i="240"/>
  <c r="AM36" i="240" s="1"/>
  <c r="AN36" i="240" s="1"/>
  <c r="AH36" i="240"/>
  <c r="AK36" i="240"/>
  <c r="AQ36" i="240"/>
  <c r="AJ36" i="240"/>
  <c r="AO36" i="240"/>
  <c r="AI36" i="240"/>
  <c r="AY6" i="240"/>
  <c r="AY7" i="240" s="1"/>
  <c r="AY8" i="240" s="1"/>
  <c r="AY9" i="240" s="1"/>
  <c r="AY10" i="240" s="1"/>
  <c r="BE6" i="240"/>
  <c r="BA6" i="240"/>
  <c r="BB6" i="240" s="1"/>
  <c r="BC6" i="240" s="1"/>
  <c r="AW6" i="240"/>
  <c r="BD6" i="240"/>
  <c r="BD7" i="240" s="1"/>
  <c r="BD8" i="240" s="1"/>
  <c r="BD9" i="240" s="1"/>
  <c r="BD10" i="240" s="1"/>
  <c r="AZ6" i="240"/>
  <c r="AZ7" i="240" s="1"/>
  <c r="AZ8" i="240" s="1"/>
  <c r="AZ9" i="240" s="1"/>
  <c r="AZ10" i="240" s="1"/>
  <c r="BF6" i="240"/>
  <c r="AX6" i="240"/>
  <c r="BF8" i="240"/>
  <c r="AX8" i="240"/>
  <c r="BE8" i="240"/>
  <c r="AW8" i="240"/>
  <c r="BF9" i="240"/>
  <c r="AX9" i="240"/>
  <c r="BE9" i="240"/>
  <c r="AW9" i="240"/>
  <c r="BF10" i="240"/>
  <c r="AX10" i="240"/>
  <c r="BE10" i="240"/>
  <c r="AW10" i="240"/>
  <c r="BG11" i="240"/>
  <c r="AY11" i="240"/>
  <c r="BF11" i="240"/>
  <c r="AX11" i="240"/>
  <c r="BE11" i="240"/>
  <c r="BA11" i="240"/>
  <c r="BB11" i="240" s="1"/>
  <c r="BC11" i="240" s="1"/>
  <c r="AW11" i="240"/>
  <c r="BD11" i="240"/>
  <c r="AZ11" i="240"/>
  <c r="BG12" i="240"/>
  <c r="AY12" i="240"/>
  <c r="BF12" i="240"/>
  <c r="AX12" i="240"/>
  <c r="BE12" i="240"/>
  <c r="BA12" i="240"/>
  <c r="BB12" i="240" s="1"/>
  <c r="BC12" i="240" s="1"/>
  <c r="AW12" i="240"/>
  <c r="BD12" i="240"/>
  <c r="AZ12" i="240"/>
  <c r="BG13" i="240"/>
  <c r="AY13" i="240"/>
  <c r="BF13" i="240"/>
  <c r="AX13" i="240"/>
  <c r="BE13" i="240"/>
  <c r="BA13" i="240"/>
  <c r="BB13" i="240" s="1"/>
  <c r="BC13" i="240" s="1"/>
  <c r="AW13" i="240"/>
  <c r="BD13" i="240"/>
  <c r="AZ13" i="240"/>
  <c r="BG14" i="240"/>
  <c r="AY14" i="240"/>
  <c r="BF14" i="240"/>
  <c r="AX14" i="240"/>
  <c r="BE14" i="240"/>
  <c r="BA14" i="240"/>
  <c r="BB14" i="240" s="1"/>
  <c r="BC14" i="240" s="1"/>
  <c r="AW14" i="240"/>
  <c r="BD14" i="240"/>
  <c r="AZ14" i="240"/>
  <c r="BG15" i="240"/>
  <c r="AY15" i="240"/>
  <c r="BF15" i="240"/>
  <c r="AX15" i="240"/>
  <c r="BE15" i="240"/>
  <c r="BA15" i="240"/>
  <c r="BB15" i="240" s="1"/>
  <c r="BC15" i="240" s="1"/>
  <c r="AW15" i="240"/>
  <c r="BD15" i="240"/>
  <c r="AZ15" i="240"/>
  <c r="BG16" i="240"/>
  <c r="AY16" i="240"/>
  <c r="BF16" i="240"/>
  <c r="AX16" i="240"/>
  <c r="BE16" i="240"/>
  <c r="BA16" i="240"/>
  <c r="BB16" i="240" s="1"/>
  <c r="BC16" i="240" s="1"/>
  <c r="AW16" i="240"/>
  <c r="BD16" i="240"/>
  <c r="AZ16" i="240"/>
  <c r="BG17" i="240"/>
  <c r="AY17" i="240"/>
  <c r="BF17" i="240"/>
  <c r="AX17" i="240"/>
  <c r="BE17" i="240"/>
  <c r="BA17" i="240"/>
  <c r="BB17" i="240" s="1"/>
  <c r="BC17" i="240" s="1"/>
  <c r="AW17" i="240"/>
  <c r="BD17" i="240"/>
  <c r="AZ17" i="240"/>
  <c r="BG18" i="240"/>
  <c r="AY18" i="240"/>
  <c r="BF18" i="240"/>
  <c r="AX18" i="240"/>
  <c r="BE18" i="240"/>
  <c r="BA18" i="240"/>
  <c r="BB18" i="240" s="1"/>
  <c r="BC18" i="240" s="1"/>
  <c r="AW18" i="240"/>
  <c r="BD18" i="240"/>
  <c r="AZ18" i="240"/>
  <c r="BG19" i="240"/>
  <c r="AY19" i="240"/>
  <c r="BF19" i="240"/>
  <c r="AX19" i="240"/>
  <c r="BE19" i="240"/>
  <c r="BA19" i="240"/>
  <c r="BB19" i="240" s="1"/>
  <c r="BC19" i="240" s="1"/>
  <c r="AW19" i="240"/>
  <c r="BD19" i="240"/>
  <c r="AZ19" i="240"/>
  <c r="BG20" i="240"/>
  <c r="AY20" i="240"/>
  <c r="BF20" i="240"/>
  <c r="AX20" i="240"/>
  <c r="BE20" i="240"/>
  <c r="BA20" i="240"/>
  <c r="BB20" i="240" s="1"/>
  <c r="BC20" i="240" s="1"/>
  <c r="AW20" i="240"/>
  <c r="BD20" i="240"/>
  <c r="AZ20" i="240"/>
  <c r="BG21" i="240"/>
  <c r="AY21" i="240"/>
  <c r="BF21" i="240"/>
  <c r="AX21" i="240"/>
  <c r="BE21" i="240"/>
  <c r="BA21" i="240"/>
  <c r="BB21" i="240" s="1"/>
  <c r="BC21" i="240" s="1"/>
  <c r="AW21" i="240"/>
  <c r="BD21" i="240"/>
  <c r="AZ21" i="240"/>
  <c r="BG22" i="240"/>
  <c r="AY22" i="240"/>
  <c r="BF22" i="240"/>
  <c r="AX22" i="240"/>
  <c r="BE22" i="240"/>
  <c r="BA22" i="240"/>
  <c r="BB22" i="240" s="1"/>
  <c r="BC22" i="240" s="1"/>
  <c r="AW22" i="240"/>
  <c r="BD22" i="240"/>
  <c r="AZ22" i="240"/>
  <c r="BG23" i="240"/>
  <c r="AY23" i="240"/>
  <c r="BF23" i="240"/>
  <c r="AX23" i="240"/>
  <c r="BE23" i="240"/>
  <c r="BA23" i="240"/>
  <c r="BB23" i="240" s="1"/>
  <c r="BC23" i="240" s="1"/>
  <c r="AW23" i="240"/>
  <c r="BD23" i="240"/>
  <c r="AZ23" i="240"/>
  <c r="BG24" i="240"/>
  <c r="AY24" i="240"/>
  <c r="BF24" i="240"/>
  <c r="AX24" i="240"/>
  <c r="BE24" i="240"/>
  <c r="BA24" i="240"/>
  <c r="BB24" i="240" s="1"/>
  <c r="BC24" i="240" s="1"/>
  <c r="AW24" i="240"/>
  <c r="BD24" i="240"/>
  <c r="AZ24" i="240"/>
  <c r="BG25" i="240"/>
  <c r="AY25" i="240"/>
  <c r="BF25" i="240"/>
  <c r="AX25" i="240"/>
  <c r="BE25" i="240"/>
  <c r="BA25" i="240"/>
  <c r="BB25" i="240" s="1"/>
  <c r="BC25" i="240" s="1"/>
  <c r="AW25" i="240"/>
  <c r="BD25" i="240"/>
  <c r="AZ25" i="240"/>
  <c r="BG26" i="240"/>
  <c r="AY26" i="240"/>
  <c r="BF26" i="240"/>
  <c r="AX26" i="240"/>
  <c r="BE26" i="240"/>
  <c r="BA26" i="240"/>
  <c r="BB26" i="240" s="1"/>
  <c r="BC26" i="240" s="1"/>
  <c r="AW26" i="240"/>
  <c r="BD26" i="240"/>
  <c r="AZ26" i="240"/>
  <c r="BG27" i="240"/>
  <c r="AY27" i="240"/>
  <c r="BF27" i="240"/>
  <c r="AX27" i="240"/>
  <c r="BE27" i="240"/>
  <c r="BA27" i="240"/>
  <c r="BB27" i="240" s="1"/>
  <c r="BC27" i="240" s="1"/>
  <c r="AW27" i="240"/>
  <c r="BD27" i="240"/>
  <c r="AZ27" i="240"/>
  <c r="BG28" i="240"/>
  <c r="AY28" i="240"/>
  <c r="BF28" i="240"/>
  <c r="AX28" i="240"/>
  <c r="BE28" i="240"/>
  <c r="BA28" i="240"/>
  <c r="BB28" i="240" s="1"/>
  <c r="BC28" i="240" s="1"/>
  <c r="AW28" i="240"/>
  <c r="BD28" i="240"/>
  <c r="AZ28" i="240"/>
  <c r="BG29" i="240"/>
  <c r="AY29" i="240"/>
  <c r="BF29" i="240"/>
  <c r="AX29" i="240"/>
  <c r="BE29" i="240"/>
  <c r="BA29" i="240"/>
  <c r="BB29" i="240" s="1"/>
  <c r="BC29" i="240" s="1"/>
  <c r="AW29" i="240"/>
  <c r="BD29" i="240"/>
  <c r="AZ29" i="240"/>
  <c r="BG30" i="240"/>
  <c r="AY30" i="240"/>
  <c r="BF30" i="240"/>
  <c r="AX30" i="240"/>
  <c r="BE30" i="240"/>
  <c r="BA30" i="240"/>
  <c r="BB30" i="240" s="1"/>
  <c r="BC30" i="240" s="1"/>
  <c r="AW30" i="240"/>
  <c r="BD30" i="240"/>
  <c r="AZ30" i="240"/>
  <c r="BG31" i="240"/>
  <c r="AY31" i="240"/>
  <c r="BF31" i="240"/>
  <c r="AX31" i="240"/>
  <c r="BE31" i="240"/>
  <c r="BA31" i="240"/>
  <c r="BB31" i="240" s="1"/>
  <c r="BC31" i="240" s="1"/>
  <c r="AW31" i="240"/>
  <c r="BD31" i="240"/>
  <c r="AZ31" i="240"/>
  <c r="BG32" i="240"/>
  <c r="AY32" i="240"/>
  <c r="BF32" i="240"/>
  <c r="AX32" i="240"/>
  <c r="BE32" i="240"/>
  <c r="BA32" i="240"/>
  <c r="BB32" i="240" s="1"/>
  <c r="BC32" i="240" s="1"/>
  <c r="AW32" i="240"/>
  <c r="BD32" i="240"/>
  <c r="AZ32" i="240"/>
  <c r="BG33" i="240"/>
  <c r="AY33" i="240"/>
  <c r="BF33" i="240"/>
  <c r="AX33" i="240"/>
  <c r="BE33" i="240"/>
  <c r="BA33" i="240"/>
  <c r="BB33" i="240" s="1"/>
  <c r="BC33" i="240" s="1"/>
  <c r="AW33" i="240"/>
  <c r="BD33" i="240"/>
  <c r="AZ33" i="240"/>
  <c r="BG34" i="240"/>
  <c r="AY34" i="240"/>
  <c r="BF34" i="240"/>
  <c r="AX34" i="240"/>
  <c r="BE34" i="240"/>
  <c r="BA34" i="240"/>
  <c r="BB34" i="240" s="1"/>
  <c r="BC34" i="240" s="1"/>
  <c r="AW34" i="240"/>
  <c r="BD34" i="240"/>
  <c r="AZ34" i="240"/>
  <c r="BG35" i="240"/>
  <c r="AY35" i="240"/>
  <c r="BF35" i="240"/>
  <c r="AX35" i="240"/>
  <c r="BE35" i="240"/>
  <c r="BA35" i="240"/>
  <c r="BB35" i="240" s="1"/>
  <c r="BC35" i="240" s="1"/>
  <c r="AW35" i="240"/>
  <c r="BD35" i="240"/>
  <c r="AZ35" i="240"/>
  <c r="BG36" i="240"/>
  <c r="AY36" i="240"/>
  <c r="BF36" i="240"/>
  <c r="AX36" i="240"/>
  <c r="BE36" i="240"/>
  <c r="BA36" i="240"/>
  <c r="BB36" i="240" s="1"/>
  <c r="BC36" i="240" s="1"/>
  <c r="AW36" i="240"/>
  <c r="BD36" i="240"/>
  <c r="AZ36" i="240"/>
  <c r="BM5" i="240"/>
  <c r="BL5" i="240"/>
  <c r="BN6" i="240"/>
  <c r="BU6" i="240"/>
  <c r="BM6" i="240"/>
  <c r="BT6" i="240"/>
  <c r="BP6" i="240"/>
  <c r="BQ6" i="240" s="1"/>
  <c r="BR6" i="240" s="1"/>
  <c r="BL6" i="240"/>
  <c r="BS6" i="240"/>
  <c r="BS7" i="240" s="1"/>
  <c r="BS8" i="240" s="1"/>
  <c r="BS9" i="240" s="1"/>
  <c r="BS10" i="240" s="1"/>
  <c r="BS11" i="240" s="1"/>
  <c r="BO6" i="240"/>
  <c r="BO7" i="240" s="1"/>
  <c r="BO8" i="240" s="1"/>
  <c r="BO9" i="240" s="1"/>
  <c r="BO10" i="240" s="1"/>
  <c r="BO11" i="240" s="1"/>
  <c r="BN7" i="240"/>
  <c r="BN8" i="240" s="1"/>
  <c r="BN9" i="240" s="1"/>
  <c r="BN10" i="240" s="1"/>
  <c r="BN11" i="240" s="1"/>
  <c r="BU7" i="240"/>
  <c r="BM7" i="240"/>
  <c r="BT7" i="240"/>
  <c r="BP7" i="240"/>
  <c r="BQ7" i="240" s="1"/>
  <c r="BR7" i="240" s="1"/>
  <c r="BL7" i="240"/>
  <c r="BU8" i="240"/>
  <c r="BM8" i="240"/>
  <c r="BT8" i="240"/>
  <c r="BL8" i="240"/>
  <c r="CC6" i="240"/>
  <c r="CJ6" i="240"/>
  <c r="CB6" i="240"/>
  <c r="CE6" i="240"/>
  <c r="CF6" i="240" s="1"/>
  <c r="CD6" i="240"/>
  <c r="CI6" i="240"/>
  <c r="CA6" i="240"/>
  <c r="CH6" i="240"/>
  <c r="CH7" i="240" s="1"/>
  <c r="CH8" i="240" s="1"/>
  <c r="CJ8" i="240"/>
  <c r="CB8" i="240"/>
  <c r="CI8" i="240"/>
  <c r="CA8" i="240"/>
  <c r="CK10" i="240"/>
  <c r="CC10" i="240"/>
  <c r="CJ10" i="240"/>
  <c r="CB10" i="240"/>
  <c r="CE10" i="240"/>
  <c r="CF10" i="240" s="1"/>
  <c r="CG10" i="240" s="1"/>
  <c r="CD10" i="240"/>
  <c r="CI10" i="240"/>
  <c r="CA10" i="240"/>
  <c r="CH10" i="240"/>
  <c r="CK12" i="240"/>
  <c r="CC12" i="240"/>
  <c r="CJ12" i="240"/>
  <c r="CB12" i="240"/>
  <c r="CE12" i="240"/>
  <c r="CF12" i="240" s="1"/>
  <c r="CG12" i="240" s="1"/>
  <c r="CD12" i="240"/>
  <c r="CI12" i="240"/>
  <c r="CA12" i="240"/>
  <c r="CH12" i="240"/>
  <c r="CK14" i="240"/>
  <c r="CC14" i="240"/>
  <c r="CJ14" i="240"/>
  <c r="CB14" i="240"/>
  <c r="CE14" i="240"/>
  <c r="CF14" i="240" s="1"/>
  <c r="CG14" i="240" s="1"/>
  <c r="CD14" i="240"/>
  <c r="CI14" i="240"/>
  <c r="CA14" i="240"/>
  <c r="CH14" i="240"/>
  <c r="CI22" i="240"/>
  <c r="CE22" i="240"/>
  <c r="CF22" i="240" s="1"/>
  <c r="CG22" i="240" s="1"/>
  <c r="CA22" i="240"/>
  <c r="CB22" i="240"/>
  <c r="CJ22" i="240"/>
  <c r="CD22" i="240"/>
  <c r="CH22" i="240"/>
  <c r="CC22" i="240"/>
  <c r="CK22" i="240"/>
  <c r="BU9" i="240"/>
  <c r="BM9" i="240"/>
  <c r="BL9" i="240"/>
  <c r="BT9" i="240"/>
  <c r="BV12" i="240"/>
  <c r="BN12" i="240"/>
  <c r="BU12" i="240"/>
  <c r="BM12" i="240"/>
  <c r="BO12" i="240"/>
  <c r="BT12" i="240"/>
  <c r="BL12" i="240"/>
  <c r="BS12" i="240"/>
  <c r="BP12" i="240"/>
  <c r="BQ12" i="240" s="1"/>
  <c r="BR12" i="240" s="1"/>
  <c r="BV14" i="240"/>
  <c r="BN14" i="240"/>
  <c r="BU14" i="240"/>
  <c r="BM14" i="240"/>
  <c r="BO14" i="240"/>
  <c r="BT14" i="240"/>
  <c r="BL14" i="240"/>
  <c r="BS14" i="240"/>
  <c r="BP14" i="240"/>
  <c r="BQ14" i="240" s="1"/>
  <c r="BR14" i="240" s="1"/>
  <c r="BV16" i="240"/>
  <c r="BN16" i="240"/>
  <c r="BU16" i="240"/>
  <c r="BM16" i="240"/>
  <c r="BO16" i="240"/>
  <c r="BT16" i="240"/>
  <c r="BL16" i="240"/>
  <c r="BS16" i="240"/>
  <c r="BP16" i="240"/>
  <c r="BQ16" i="240" s="1"/>
  <c r="BR16" i="240" s="1"/>
  <c r="BV18" i="240"/>
  <c r="BN18" i="240"/>
  <c r="BU18" i="240"/>
  <c r="BM18" i="240"/>
  <c r="BO18" i="240"/>
  <c r="BT18" i="240"/>
  <c r="BL18" i="240"/>
  <c r="BS18" i="240"/>
  <c r="BP18" i="240"/>
  <c r="BQ18" i="240" s="1"/>
  <c r="BR18" i="240" s="1"/>
  <c r="BV20" i="240"/>
  <c r="BN20" i="240"/>
  <c r="BU20" i="240"/>
  <c r="BM20" i="240"/>
  <c r="BO20" i="240"/>
  <c r="BT20" i="240"/>
  <c r="BL20" i="240"/>
  <c r="BS20" i="240"/>
  <c r="BP20" i="240"/>
  <c r="BQ20" i="240" s="1"/>
  <c r="BR20" i="240" s="1"/>
  <c r="BV22" i="240"/>
  <c r="BN22" i="240"/>
  <c r="BU22" i="240"/>
  <c r="BM22" i="240"/>
  <c r="BO22" i="240"/>
  <c r="BT22" i="240"/>
  <c r="BL22" i="240"/>
  <c r="BS22" i="240"/>
  <c r="BP22" i="240"/>
  <c r="BQ22" i="240" s="1"/>
  <c r="BR22" i="240" s="1"/>
  <c r="BV24" i="240"/>
  <c r="BN24" i="240"/>
  <c r="BU24" i="240"/>
  <c r="BM24" i="240"/>
  <c r="BO24" i="240"/>
  <c r="BT24" i="240"/>
  <c r="BL24" i="240"/>
  <c r="BS24" i="240"/>
  <c r="BP24" i="240"/>
  <c r="BQ24" i="240" s="1"/>
  <c r="BR24" i="240" s="1"/>
  <c r="BV26" i="240"/>
  <c r="BN26" i="240"/>
  <c r="BU26" i="240"/>
  <c r="BM26" i="240"/>
  <c r="BO26" i="240"/>
  <c r="BT26" i="240"/>
  <c r="BL26" i="240"/>
  <c r="BS26" i="240"/>
  <c r="BP26" i="240"/>
  <c r="BQ26" i="240" s="1"/>
  <c r="BR26" i="240" s="1"/>
  <c r="BV28" i="240"/>
  <c r="BN28" i="240"/>
  <c r="BU28" i="240"/>
  <c r="BM28" i="240"/>
  <c r="BO28" i="240"/>
  <c r="BT28" i="240"/>
  <c r="BL28" i="240"/>
  <c r="BS28" i="240"/>
  <c r="BP28" i="240"/>
  <c r="BQ28" i="240" s="1"/>
  <c r="BR28" i="240" s="1"/>
  <c r="BV30" i="240"/>
  <c r="BN30" i="240"/>
  <c r="BU30" i="240"/>
  <c r="BM30" i="240"/>
  <c r="BO30" i="240"/>
  <c r="BT30" i="240"/>
  <c r="BL30" i="240"/>
  <c r="BS30" i="240"/>
  <c r="BP30" i="240"/>
  <c r="BQ30" i="240" s="1"/>
  <c r="BR30" i="240" s="1"/>
  <c r="BV32" i="240"/>
  <c r="BN32" i="240"/>
  <c r="BU32" i="240"/>
  <c r="BM32" i="240"/>
  <c r="BO32" i="240"/>
  <c r="BT32" i="240"/>
  <c r="BL32" i="240"/>
  <c r="BS32" i="240"/>
  <c r="BP32" i="240"/>
  <c r="BQ32" i="240" s="1"/>
  <c r="BR32" i="240" s="1"/>
  <c r="BV34" i="240"/>
  <c r="BN34" i="240"/>
  <c r="BU34" i="240"/>
  <c r="BM34" i="240"/>
  <c r="BO34" i="240"/>
  <c r="BT34" i="240"/>
  <c r="BL34" i="240"/>
  <c r="BS34" i="240"/>
  <c r="BP34" i="240"/>
  <c r="BQ34" i="240" s="1"/>
  <c r="BR34" i="240" s="1"/>
  <c r="BV36" i="240"/>
  <c r="BN36" i="240"/>
  <c r="BU36" i="240"/>
  <c r="BM36" i="240"/>
  <c r="BO36" i="240"/>
  <c r="BT36" i="240"/>
  <c r="BL36" i="240"/>
  <c r="BS36" i="240"/>
  <c r="BP36" i="240"/>
  <c r="BQ36" i="240" s="1"/>
  <c r="BR36" i="240" s="1"/>
  <c r="CI26" i="240"/>
  <c r="CE26" i="240"/>
  <c r="CF26" i="240" s="1"/>
  <c r="CG26" i="240" s="1"/>
  <c r="CA26" i="240"/>
  <c r="CB26" i="240"/>
  <c r="CJ26" i="240"/>
  <c r="CD26" i="240"/>
  <c r="CH26" i="240"/>
  <c r="CC26" i="240"/>
  <c r="CK26" i="240"/>
  <c r="BU10" i="240"/>
  <c r="BM10" i="240"/>
  <c r="BL10" i="240"/>
  <c r="BT10" i="240"/>
  <c r="CB5" i="240"/>
  <c r="CA5" i="240"/>
  <c r="CC7" i="240"/>
  <c r="CC8" i="240" s="1"/>
  <c r="CJ7" i="240"/>
  <c r="CB7" i="240"/>
  <c r="CI7" i="240"/>
  <c r="CA7" i="240"/>
  <c r="CD7" i="240"/>
  <c r="CD8" i="240" s="1"/>
  <c r="CK9" i="240"/>
  <c r="CC9" i="240"/>
  <c r="CJ9" i="240"/>
  <c r="CB9" i="240"/>
  <c r="CI9" i="240"/>
  <c r="CA9" i="240"/>
  <c r="CH9" i="240"/>
  <c r="CE9" i="240"/>
  <c r="CF9" i="240" s="1"/>
  <c r="CG9" i="240" s="1"/>
  <c r="CD9" i="240"/>
  <c r="CK11" i="240"/>
  <c r="CC11" i="240"/>
  <c r="CJ11" i="240"/>
  <c r="CB11" i="240"/>
  <c r="CI11" i="240"/>
  <c r="CA11" i="240"/>
  <c r="CH11" i="240"/>
  <c r="CE11" i="240"/>
  <c r="CF11" i="240" s="1"/>
  <c r="CG11" i="240" s="1"/>
  <c r="CD11" i="240"/>
  <c r="CK13" i="240"/>
  <c r="CC13" i="240"/>
  <c r="CJ13" i="240"/>
  <c r="CB13" i="240"/>
  <c r="CI13" i="240"/>
  <c r="CA13" i="240"/>
  <c r="CH13" i="240"/>
  <c r="CE13" i="240"/>
  <c r="CF13" i="240" s="1"/>
  <c r="CG13" i="240" s="1"/>
  <c r="CD13" i="240"/>
  <c r="CI15" i="240"/>
  <c r="CE15" i="240"/>
  <c r="CF15" i="240" s="1"/>
  <c r="CG15" i="240" s="1"/>
  <c r="CH15" i="240"/>
  <c r="CC15" i="240"/>
  <c r="CB15" i="240"/>
  <c r="CK15" i="240"/>
  <c r="CA15" i="240"/>
  <c r="CJ15" i="240"/>
  <c r="CD15" i="240"/>
  <c r="CI30" i="240"/>
  <c r="CE30" i="240"/>
  <c r="CF30" i="240" s="1"/>
  <c r="CG30" i="240" s="1"/>
  <c r="CA30" i="240"/>
  <c r="CB30" i="240"/>
  <c r="CJ30" i="240"/>
  <c r="CD30" i="240"/>
  <c r="CH30" i="240"/>
  <c r="CC30" i="240"/>
  <c r="CK30" i="240"/>
  <c r="BU11" i="240"/>
  <c r="BM11" i="240"/>
  <c r="BT11" i="240"/>
  <c r="BL11" i="240"/>
  <c r="BV13" i="240"/>
  <c r="BN13" i="240"/>
  <c r="BU13" i="240"/>
  <c r="BM13" i="240"/>
  <c r="BS13" i="240"/>
  <c r="BP13" i="240"/>
  <c r="BQ13" i="240" s="1"/>
  <c r="BR13" i="240" s="1"/>
  <c r="BO13" i="240"/>
  <c r="BT13" i="240"/>
  <c r="BL13" i="240"/>
  <c r="BV15" i="240"/>
  <c r="BN15" i="240"/>
  <c r="BU15" i="240"/>
  <c r="BM15" i="240"/>
  <c r="BS15" i="240"/>
  <c r="BP15" i="240"/>
  <c r="BQ15" i="240" s="1"/>
  <c r="BR15" i="240" s="1"/>
  <c r="BO15" i="240"/>
  <c r="BT15" i="240"/>
  <c r="BL15" i="240"/>
  <c r="BV17" i="240"/>
  <c r="BN17" i="240"/>
  <c r="BU17" i="240"/>
  <c r="BM17" i="240"/>
  <c r="BS17" i="240"/>
  <c r="BP17" i="240"/>
  <c r="BQ17" i="240" s="1"/>
  <c r="BR17" i="240" s="1"/>
  <c r="BO17" i="240"/>
  <c r="BT17" i="240"/>
  <c r="BL17" i="240"/>
  <c r="BV19" i="240"/>
  <c r="BN19" i="240"/>
  <c r="BU19" i="240"/>
  <c r="BM19" i="240"/>
  <c r="BS19" i="240"/>
  <c r="BP19" i="240"/>
  <c r="BQ19" i="240" s="1"/>
  <c r="BR19" i="240" s="1"/>
  <c r="BO19" i="240"/>
  <c r="BT19" i="240"/>
  <c r="BL19" i="240"/>
  <c r="BV21" i="240"/>
  <c r="BN21" i="240"/>
  <c r="BU21" i="240"/>
  <c r="BM21" i="240"/>
  <c r="BS21" i="240"/>
  <c r="BP21" i="240"/>
  <c r="BQ21" i="240" s="1"/>
  <c r="BR21" i="240" s="1"/>
  <c r="BO21" i="240"/>
  <c r="BT21" i="240"/>
  <c r="BL21" i="240"/>
  <c r="BV23" i="240"/>
  <c r="BN23" i="240"/>
  <c r="BU23" i="240"/>
  <c r="BM23" i="240"/>
  <c r="BS23" i="240"/>
  <c r="BP23" i="240"/>
  <c r="BQ23" i="240" s="1"/>
  <c r="BR23" i="240" s="1"/>
  <c r="BO23" i="240"/>
  <c r="BT23" i="240"/>
  <c r="BL23" i="240"/>
  <c r="BV25" i="240"/>
  <c r="BN25" i="240"/>
  <c r="BU25" i="240"/>
  <c r="BM25" i="240"/>
  <c r="BS25" i="240"/>
  <c r="BP25" i="240"/>
  <c r="BQ25" i="240" s="1"/>
  <c r="BR25" i="240" s="1"/>
  <c r="BO25" i="240"/>
  <c r="BT25" i="240"/>
  <c r="BL25" i="240"/>
  <c r="BV27" i="240"/>
  <c r="BN27" i="240"/>
  <c r="BU27" i="240"/>
  <c r="BM27" i="240"/>
  <c r="BS27" i="240"/>
  <c r="BP27" i="240"/>
  <c r="BQ27" i="240" s="1"/>
  <c r="BR27" i="240" s="1"/>
  <c r="BO27" i="240"/>
  <c r="BT27" i="240"/>
  <c r="BL27" i="240"/>
  <c r="BV29" i="240"/>
  <c r="BN29" i="240"/>
  <c r="BU29" i="240"/>
  <c r="BM29" i="240"/>
  <c r="BS29" i="240"/>
  <c r="BP29" i="240"/>
  <c r="BQ29" i="240" s="1"/>
  <c r="BR29" i="240" s="1"/>
  <c r="BO29" i="240"/>
  <c r="BT29" i="240"/>
  <c r="BL29" i="240"/>
  <c r="BV31" i="240"/>
  <c r="BN31" i="240"/>
  <c r="BU31" i="240"/>
  <c r="BM31" i="240"/>
  <c r="BS31" i="240"/>
  <c r="BP31" i="240"/>
  <c r="BQ31" i="240" s="1"/>
  <c r="BR31" i="240" s="1"/>
  <c r="BO31" i="240"/>
  <c r="BT31" i="240"/>
  <c r="BL31" i="240"/>
  <c r="BV33" i="240"/>
  <c r="BN33" i="240"/>
  <c r="BU33" i="240"/>
  <c r="BM33" i="240"/>
  <c r="BS33" i="240"/>
  <c r="BP33" i="240"/>
  <c r="BQ33" i="240" s="1"/>
  <c r="BR33" i="240" s="1"/>
  <c r="BO33" i="240"/>
  <c r="BT33" i="240"/>
  <c r="BL33" i="240"/>
  <c r="BV35" i="240"/>
  <c r="BN35" i="240"/>
  <c r="BU35" i="240"/>
  <c r="BM35" i="240"/>
  <c r="BS35" i="240"/>
  <c r="BP35" i="240"/>
  <c r="BQ35" i="240" s="1"/>
  <c r="BR35" i="240" s="1"/>
  <c r="BO35" i="240"/>
  <c r="BT35" i="240"/>
  <c r="BL35" i="240"/>
  <c r="CI18" i="240"/>
  <c r="CE18" i="240"/>
  <c r="CF18" i="240" s="1"/>
  <c r="CG18" i="240" s="1"/>
  <c r="CA18" i="240"/>
  <c r="CB18" i="240"/>
  <c r="CJ18" i="240"/>
  <c r="CD18" i="240"/>
  <c r="CH18" i="240"/>
  <c r="CC18" i="240"/>
  <c r="CK18" i="240"/>
  <c r="CI16" i="240"/>
  <c r="CE16" i="240"/>
  <c r="CF16" i="240" s="1"/>
  <c r="CG16" i="240" s="1"/>
  <c r="CA16" i="240"/>
  <c r="CB16" i="240"/>
  <c r="CK16" i="240"/>
  <c r="CJ16" i="240"/>
  <c r="CH16" i="240"/>
  <c r="CD16" i="240"/>
  <c r="CC16" i="240"/>
  <c r="CI20" i="240"/>
  <c r="CE20" i="240"/>
  <c r="CF20" i="240" s="1"/>
  <c r="CG20" i="240" s="1"/>
  <c r="CA20" i="240"/>
  <c r="CJ20" i="240"/>
  <c r="CD20" i="240"/>
  <c r="CB20" i="240"/>
  <c r="CK20" i="240"/>
  <c r="CH20" i="240"/>
  <c r="CC20" i="240"/>
  <c r="CI24" i="240"/>
  <c r="CE24" i="240"/>
  <c r="CF24" i="240" s="1"/>
  <c r="CG24" i="240" s="1"/>
  <c r="CA24" i="240"/>
  <c r="CJ24" i="240"/>
  <c r="CD24" i="240"/>
  <c r="CB24" i="240"/>
  <c r="CK24" i="240"/>
  <c r="CH24" i="240"/>
  <c r="CC24" i="240"/>
  <c r="CI28" i="240"/>
  <c r="CE28" i="240"/>
  <c r="CF28" i="240" s="1"/>
  <c r="CG28" i="240" s="1"/>
  <c r="CA28" i="240"/>
  <c r="CJ28" i="240"/>
  <c r="CD28" i="240"/>
  <c r="CB28" i="240"/>
  <c r="CK28" i="240"/>
  <c r="CH28" i="240"/>
  <c r="CC28" i="240"/>
  <c r="CI32" i="240"/>
  <c r="CE32" i="240"/>
  <c r="CF32" i="240" s="1"/>
  <c r="CG32" i="240" s="1"/>
  <c r="CA32" i="240"/>
  <c r="CH32" i="240"/>
  <c r="CD32" i="240"/>
  <c r="CK32" i="240"/>
  <c r="CC32" i="240"/>
  <c r="CJ32" i="240"/>
  <c r="CB32" i="240"/>
  <c r="CI17" i="240"/>
  <c r="CE17" i="240"/>
  <c r="CF17" i="240" s="1"/>
  <c r="CG17" i="240" s="1"/>
  <c r="CA17" i="240"/>
  <c r="CH17" i="240"/>
  <c r="CK17" i="240"/>
  <c r="CJ17" i="240"/>
  <c r="CD17" i="240"/>
  <c r="CC17" i="240"/>
  <c r="CB17" i="240"/>
  <c r="CI21" i="240"/>
  <c r="CE21" i="240"/>
  <c r="CF21" i="240" s="1"/>
  <c r="CG21" i="240" s="1"/>
  <c r="CA21" i="240"/>
  <c r="CH21" i="240"/>
  <c r="CC21" i="240"/>
  <c r="CK21" i="240"/>
  <c r="CJ21" i="240"/>
  <c r="CD21" i="240"/>
  <c r="CB21" i="240"/>
  <c r="CI25" i="240"/>
  <c r="CE25" i="240"/>
  <c r="CF25" i="240" s="1"/>
  <c r="CG25" i="240" s="1"/>
  <c r="CA25" i="240"/>
  <c r="CH25" i="240"/>
  <c r="CC25" i="240"/>
  <c r="CK25" i="240"/>
  <c r="CJ25" i="240"/>
  <c r="CD25" i="240"/>
  <c r="CB25" i="240"/>
  <c r="CI29" i="240"/>
  <c r="CE29" i="240"/>
  <c r="CF29" i="240" s="1"/>
  <c r="CG29" i="240" s="1"/>
  <c r="CA29" i="240"/>
  <c r="CH29" i="240"/>
  <c r="CC29" i="240"/>
  <c r="CK29" i="240"/>
  <c r="CJ29" i="240"/>
  <c r="CD29" i="240"/>
  <c r="CB29" i="240"/>
  <c r="CI19" i="240"/>
  <c r="CE19" i="240"/>
  <c r="CF19" i="240" s="1"/>
  <c r="CG19" i="240" s="1"/>
  <c r="CA19" i="240"/>
  <c r="CK19" i="240"/>
  <c r="CH19" i="240"/>
  <c r="CC19" i="240"/>
  <c r="CB19" i="240"/>
  <c r="CJ19" i="240"/>
  <c r="CD19" i="240"/>
  <c r="CI23" i="240"/>
  <c r="CE23" i="240"/>
  <c r="CF23" i="240" s="1"/>
  <c r="CG23" i="240" s="1"/>
  <c r="CA23" i="240"/>
  <c r="CK23" i="240"/>
  <c r="CH23" i="240"/>
  <c r="CC23" i="240"/>
  <c r="CB23" i="240"/>
  <c r="CD23" i="240"/>
  <c r="CJ23" i="240"/>
  <c r="CI27" i="240"/>
  <c r="CE27" i="240"/>
  <c r="CF27" i="240" s="1"/>
  <c r="CG27" i="240" s="1"/>
  <c r="CA27" i="240"/>
  <c r="CK27" i="240"/>
  <c r="CH27" i="240"/>
  <c r="CC27" i="240"/>
  <c r="CB27" i="240"/>
  <c r="CJ27" i="240"/>
  <c r="CD27" i="240"/>
  <c r="CI31" i="240"/>
  <c r="CE31" i="240"/>
  <c r="CF31" i="240" s="1"/>
  <c r="CG31" i="240" s="1"/>
  <c r="CA31" i="240"/>
  <c r="CK31" i="240"/>
  <c r="CJ31" i="240"/>
  <c r="CD31" i="240"/>
  <c r="CH31" i="240"/>
  <c r="CC31" i="240"/>
  <c r="CB31" i="240"/>
  <c r="CX36" i="240"/>
  <c r="CT36" i="240"/>
  <c r="CU36" i="240" s="1"/>
  <c r="CV36" i="240" s="1"/>
  <c r="CP36" i="240"/>
  <c r="CY36" i="240"/>
  <c r="CS36" i="240"/>
  <c r="CW36" i="240"/>
  <c r="CR36" i="240"/>
  <c r="CZ36" i="240"/>
  <c r="CQ36" i="240"/>
  <c r="CI33" i="240"/>
  <c r="CE33" i="240"/>
  <c r="CF33" i="240" s="1"/>
  <c r="CG33" i="240" s="1"/>
  <c r="CA33" i="240"/>
  <c r="CH33" i="240"/>
  <c r="CD33" i="240"/>
  <c r="CJ33" i="240"/>
  <c r="CB33" i="240"/>
  <c r="CK33" i="240"/>
  <c r="CC33" i="240"/>
  <c r="CI34" i="240"/>
  <c r="CE34" i="240"/>
  <c r="CF34" i="240" s="1"/>
  <c r="CG34" i="240" s="1"/>
  <c r="CA34" i="240"/>
  <c r="CH34" i="240"/>
  <c r="CD34" i="240"/>
  <c r="CK34" i="240"/>
  <c r="CC34" i="240"/>
  <c r="CJ34" i="240"/>
  <c r="CB34" i="240"/>
  <c r="CI35" i="240"/>
  <c r="CE35" i="240"/>
  <c r="CF35" i="240" s="1"/>
  <c r="CG35" i="240" s="1"/>
  <c r="CA35" i="240"/>
  <c r="CH35" i="240"/>
  <c r="CD35" i="240"/>
  <c r="CJ35" i="240"/>
  <c r="CB35" i="240"/>
  <c r="CK35" i="240"/>
  <c r="CC35" i="240"/>
  <c r="CI36" i="240"/>
  <c r="CE36" i="240"/>
  <c r="CF36" i="240" s="1"/>
  <c r="CG36" i="240" s="1"/>
  <c r="CA36" i="240"/>
  <c r="CH36" i="240"/>
  <c r="CD36" i="240"/>
  <c r="CK36" i="240"/>
  <c r="CC36" i="240"/>
  <c r="CJ36" i="240"/>
  <c r="CB36" i="240"/>
  <c r="CP5" i="240"/>
  <c r="CQ5" i="240"/>
  <c r="CX6" i="240"/>
  <c r="CT6" i="240"/>
  <c r="CU6" i="240" s="1"/>
  <c r="CV6" i="240" s="1"/>
  <c r="CP6" i="240"/>
  <c r="CW6" i="240"/>
  <c r="CS6" i="240"/>
  <c r="CZ6" i="240"/>
  <c r="CR6" i="240"/>
  <c r="CY6" i="240"/>
  <c r="CQ6" i="240"/>
  <c r="CX7" i="240"/>
  <c r="CT7" i="240"/>
  <c r="CU7" i="240" s="1"/>
  <c r="CV7" i="240" s="1"/>
  <c r="CP7" i="240"/>
  <c r="CW7" i="240"/>
  <c r="CS7" i="240"/>
  <c r="CY7" i="240"/>
  <c r="CQ7" i="240"/>
  <c r="CZ7" i="240"/>
  <c r="CR7" i="240"/>
  <c r="CX8" i="240"/>
  <c r="CT8" i="240"/>
  <c r="CU8" i="240" s="1"/>
  <c r="CV8" i="240" s="1"/>
  <c r="CP8" i="240"/>
  <c r="CW8" i="240"/>
  <c r="CS8" i="240"/>
  <c r="CZ8" i="240"/>
  <c r="CR8" i="240"/>
  <c r="CY8" i="240"/>
  <c r="CQ8" i="240"/>
  <c r="CX9" i="240"/>
  <c r="CT9" i="240"/>
  <c r="CU9" i="240" s="1"/>
  <c r="CV9" i="240" s="1"/>
  <c r="CP9" i="240"/>
  <c r="CW9" i="240"/>
  <c r="CS9" i="240"/>
  <c r="CY9" i="240"/>
  <c r="CQ9" i="240"/>
  <c r="CZ9" i="240"/>
  <c r="CR9" i="240"/>
  <c r="CX10" i="240"/>
  <c r="CT10" i="240"/>
  <c r="CU10" i="240" s="1"/>
  <c r="CV10" i="240" s="1"/>
  <c r="CP10" i="240"/>
  <c r="CW10" i="240"/>
  <c r="CS10" i="240"/>
  <c r="CZ10" i="240"/>
  <c r="CR10" i="240"/>
  <c r="CY10" i="240"/>
  <c r="CQ10" i="240"/>
  <c r="CX11" i="240"/>
  <c r="CT11" i="240"/>
  <c r="CU11" i="240" s="1"/>
  <c r="CV11" i="240" s="1"/>
  <c r="CP11" i="240"/>
  <c r="CW11" i="240"/>
  <c r="CS11" i="240"/>
  <c r="CY11" i="240"/>
  <c r="CQ11" i="240"/>
  <c r="CZ11" i="240"/>
  <c r="CR11" i="240"/>
  <c r="CX12" i="240"/>
  <c r="CT12" i="240"/>
  <c r="CU12" i="240" s="1"/>
  <c r="CV12" i="240" s="1"/>
  <c r="CP12" i="240"/>
  <c r="CW12" i="240"/>
  <c r="CS12" i="240"/>
  <c r="CZ12" i="240"/>
  <c r="CR12" i="240"/>
  <c r="CY12" i="240"/>
  <c r="CQ12" i="240"/>
  <c r="CX13" i="240"/>
  <c r="CT13" i="240"/>
  <c r="CU13" i="240" s="1"/>
  <c r="CV13" i="240" s="1"/>
  <c r="CP13" i="240"/>
  <c r="CW13" i="240"/>
  <c r="CS13" i="240"/>
  <c r="CY13" i="240"/>
  <c r="CQ13" i="240"/>
  <c r="CZ13" i="240"/>
  <c r="CR13" i="240"/>
  <c r="CX14" i="240"/>
  <c r="CT14" i="240"/>
  <c r="CU14" i="240" s="1"/>
  <c r="CV14" i="240" s="1"/>
  <c r="CP14" i="240"/>
  <c r="CW14" i="240"/>
  <c r="CS14" i="240"/>
  <c r="CZ14" i="240"/>
  <c r="CR14" i="240"/>
  <c r="CY14" i="240"/>
  <c r="CQ14" i="240"/>
  <c r="CX15" i="240"/>
  <c r="CT15" i="240"/>
  <c r="CU15" i="240" s="1"/>
  <c r="CV15" i="240" s="1"/>
  <c r="CP15" i="240"/>
  <c r="CW15" i="240"/>
  <c r="CS15" i="240"/>
  <c r="CY15" i="240"/>
  <c r="CQ15" i="240"/>
  <c r="CZ15" i="240"/>
  <c r="CR15" i="240"/>
  <c r="CX16" i="240"/>
  <c r="CT16" i="240"/>
  <c r="CU16" i="240" s="1"/>
  <c r="CV16" i="240" s="1"/>
  <c r="CP16" i="240"/>
  <c r="CW16" i="240"/>
  <c r="CS16" i="240"/>
  <c r="CZ16" i="240"/>
  <c r="CR16" i="240"/>
  <c r="CY16" i="240"/>
  <c r="CQ16" i="240"/>
  <c r="CX17" i="240"/>
  <c r="CT17" i="240"/>
  <c r="CU17" i="240" s="1"/>
  <c r="CV17" i="240" s="1"/>
  <c r="CP17" i="240"/>
  <c r="CW17" i="240"/>
  <c r="CS17" i="240"/>
  <c r="CY17" i="240"/>
  <c r="CQ17" i="240"/>
  <c r="CZ17" i="240"/>
  <c r="CR17" i="240"/>
  <c r="CX18" i="240"/>
  <c r="CT18" i="240"/>
  <c r="CU18" i="240" s="1"/>
  <c r="CV18" i="240" s="1"/>
  <c r="CP18" i="240"/>
  <c r="CW18" i="240"/>
  <c r="CS18" i="240"/>
  <c r="CZ18" i="240"/>
  <c r="CR18" i="240"/>
  <c r="CY18" i="240"/>
  <c r="CQ18" i="240"/>
  <c r="CX19" i="240"/>
  <c r="CT19" i="240"/>
  <c r="CU19" i="240" s="1"/>
  <c r="CV19" i="240" s="1"/>
  <c r="CP19" i="240"/>
  <c r="CW19" i="240"/>
  <c r="CS19" i="240"/>
  <c r="CY19" i="240"/>
  <c r="CQ19" i="240"/>
  <c r="CZ19" i="240"/>
  <c r="CR19" i="240"/>
  <c r="CX20" i="240"/>
  <c r="CT20" i="240"/>
  <c r="CU20" i="240" s="1"/>
  <c r="CV20" i="240" s="1"/>
  <c r="CP20" i="240"/>
  <c r="CW20" i="240"/>
  <c r="CS20" i="240"/>
  <c r="CZ20" i="240"/>
  <c r="CR20" i="240"/>
  <c r="CY20" i="240"/>
  <c r="CQ20" i="240"/>
  <c r="CX21" i="240"/>
  <c r="CT21" i="240"/>
  <c r="CU21" i="240" s="1"/>
  <c r="CV21" i="240" s="1"/>
  <c r="CP21" i="240"/>
  <c r="CW21" i="240"/>
  <c r="CS21" i="240"/>
  <c r="CY21" i="240"/>
  <c r="CQ21" i="240"/>
  <c r="CZ21" i="240"/>
  <c r="CR21" i="240"/>
  <c r="CX22" i="240"/>
  <c r="CT22" i="240"/>
  <c r="CU22" i="240" s="1"/>
  <c r="CV22" i="240" s="1"/>
  <c r="CP22" i="240"/>
  <c r="CW22" i="240"/>
  <c r="CS22" i="240"/>
  <c r="CZ22" i="240"/>
  <c r="CR22" i="240"/>
  <c r="CY22" i="240"/>
  <c r="CQ22" i="240"/>
  <c r="CX23" i="240"/>
  <c r="CT23" i="240"/>
  <c r="CU23" i="240" s="1"/>
  <c r="CV23" i="240" s="1"/>
  <c r="CP23" i="240"/>
  <c r="CW23" i="240"/>
  <c r="CS23" i="240"/>
  <c r="CY23" i="240"/>
  <c r="CQ23" i="240"/>
  <c r="CZ23" i="240"/>
  <c r="CR23" i="240"/>
  <c r="CX24" i="240"/>
  <c r="CT24" i="240"/>
  <c r="CU24" i="240" s="1"/>
  <c r="CV24" i="240" s="1"/>
  <c r="CP24" i="240"/>
  <c r="CW24" i="240"/>
  <c r="CS24" i="240"/>
  <c r="CZ24" i="240"/>
  <c r="CR24" i="240"/>
  <c r="CY24" i="240"/>
  <c r="CQ24" i="240"/>
  <c r="CX25" i="240"/>
  <c r="CT25" i="240"/>
  <c r="CU25" i="240" s="1"/>
  <c r="CV25" i="240" s="1"/>
  <c r="CP25" i="240"/>
  <c r="CW25" i="240"/>
  <c r="CS25" i="240"/>
  <c r="CY25" i="240"/>
  <c r="CQ25" i="240"/>
  <c r="CZ25" i="240"/>
  <c r="CR25" i="240"/>
  <c r="CX26" i="240"/>
  <c r="CT26" i="240"/>
  <c r="CU26" i="240" s="1"/>
  <c r="CV26" i="240" s="1"/>
  <c r="CP26" i="240"/>
  <c r="CW26" i="240"/>
  <c r="CS26" i="240"/>
  <c r="CZ26" i="240"/>
  <c r="CR26" i="240"/>
  <c r="CY26" i="240"/>
  <c r="CQ26" i="240"/>
  <c r="CX27" i="240"/>
  <c r="CT27" i="240"/>
  <c r="CU27" i="240" s="1"/>
  <c r="CV27" i="240" s="1"/>
  <c r="CP27" i="240"/>
  <c r="CW27" i="240"/>
  <c r="CS27" i="240"/>
  <c r="CY27" i="240"/>
  <c r="CQ27" i="240"/>
  <c r="CZ27" i="240"/>
  <c r="CR27" i="240"/>
  <c r="CX28" i="240"/>
  <c r="CT28" i="240"/>
  <c r="CU28" i="240" s="1"/>
  <c r="CV28" i="240" s="1"/>
  <c r="CP28" i="240"/>
  <c r="CW28" i="240"/>
  <c r="CS28" i="240"/>
  <c r="CZ28" i="240"/>
  <c r="CR28" i="240"/>
  <c r="CY28" i="240"/>
  <c r="CQ28" i="240"/>
  <c r="CX29" i="240"/>
  <c r="CT29" i="240"/>
  <c r="CU29" i="240" s="1"/>
  <c r="CV29" i="240" s="1"/>
  <c r="CP29" i="240"/>
  <c r="CW29" i="240"/>
  <c r="CS29" i="240"/>
  <c r="CY29" i="240"/>
  <c r="CQ29" i="240"/>
  <c r="CZ29" i="240"/>
  <c r="CR29" i="240"/>
  <c r="CX30" i="240"/>
  <c r="CT30" i="240"/>
  <c r="CU30" i="240" s="1"/>
  <c r="CV30" i="240" s="1"/>
  <c r="CP30" i="240"/>
  <c r="CW30" i="240"/>
  <c r="CS30" i="240"/>
  <c r="CZ30" i="240"/>
  <c r="CR30" i="240"/>
  <c r="CY30" i="240"/>
  <c r="CQ30" i="240"/>
  <c r="CX31" i="240"/>
  <c r="CT31" i="240"/>
  <c r="CU31" i="240" s="1"/>
  <c r="CV31" i="240" s="1"/>
  <c r="CP31" i="240"/>
  <c r="CW31" i="240"/>
  <c r="CS31" i="240"/>
  <c r="CY31" i="240"/>
  <c r="CQ31" i="240"/>
  <c r="CZ31" i="240"/>
  <c r="CR31" i="240"/>
  <c r="CX32" i="240"/>
  <c r="CT32" i="240"/>
  <c r="CU32" i="240" s="1"/>
  <c r="CV32" i="240" s="1"/>
  <c r="CP32" i="240"/>
  <c r="CW32" i="240"/>
  <c r="CS32" i="240"/>
  <c r="CZ32" i="240"/>
  <c r="CR32" i="240"/>
  <c r="CY32" i="240"/>
  <c r="CQ32" i="240"/>
  <c r="CX33" i="240"/>
  <c r="CT33" i="240"/>
  <c r="CU33" i="240" s="1"/>
  <c r="CV33" i="240" s="1"/>
  <c r="CP33" i="240"/>
  <c r="CW33" i="240"/>
  <c r="CS33" i="240"/>
  <c r="CY33" i="240"/>
  <c r="CQ33" i="240"/>
  <c r="CZ33" i="240"/>
  <c r="CR33" i="240"/>
  <c r="CX34" i="240"/>
  <c r="CT34" i="240"/>
  <c r="CU34" i="240" s="1"/>
  <c r="CV34" i="240" s="1"/>
  <c r="CP34" i="240"/>
  <c r="CW34" i="240"/>
  <c r="CS34" i="240"/>
  <c r="CZ34" i="240"/>
  <c r="CR34" i="240"/>
  <c r="CY34" i="240"/>
  <c r="CQ34" i="240"/>
  <c r="CX35" i="240"/>
  <c r="CT35" i="240"/>
  <c r="CU35" i="240" s="1"/>
  <c r="CV35" i="240" s="1"/>
  <c r="CZ35" i="240"/>
  <c r="CP35" i="240"/>
  <c r="CY35" i="240"/>
  <c r="CS35" i="240"/>
  <c r="CQ35" i="240"/>
  <c r="CW35" i="240"/>
  <c r="CR35" i="240"/>
  <c r="DM6" i="240"/>
  <c r="DI6" i="240"/>
  <c r="DJ6" i="240" s="1"/>
  <c r="DK6" i="240" s="1"/>
  <c r="DE6" i="240"/>
  <c r="DF6" i="240"/>
  <c r="DO6" i="240"/>
  <c r="DN6" i="240"/>
  <c r="DH6" i="240"/>
  <c r="DL6" i="240"/>
  <c r="DG6" i="240"/>
  <c r="DE5" i="240"/>
  <c r="DF5" i="240"/>
  <c r="DM7" i="240"/>
  <c r="DI7" i="240"/>
  <c r="DJ7" i="240" s="1"/>
  <c r="DK7" i="240" s="1"/>
  <c r="DE7" i="240"/>
  <c r="DL7" i="240"/>
  <c r="DH7" i="240"/>
  <c r="DO7" i="240"/>
  <c r="DG7" i="240"/>
  <c r="DN7" i="240"/>
  <c r="DF7" i="240"/>
  <c r="ES12" i="240"/>
  <c r="EK12" i="240"/>
  <c r="ER12" i="240"/>
  <c r="EJ12" i="240"/>
  <c r="EQ12" i="240"/>
  <c r="EM12" i="240"/>
  <c r="EN12" i="240" s="1"/>
  <c r="EO12" i="240" s="1"/>
  <c r="EI12" i="240"/>
  <c r="EP12" i="240"/>
  <c r="EL12" i="240"/>
  <c r="DM8" i="240"/>
  <c r="DI8" i="240"/>
  <c r="DJ8" i="240" s="1"/>
  <c r="DK8" i="240" s="1"/>
  <c r="DE8" i="240"/>
  <c r="DL8" i="240"/>
  <c r="DH8" i="240"/>
  <c r="DO8" i="240"/>
  <c r="DG8" i="240"/>
  <c r="DN8" i="240"/>
  <c r="DF8" i="240"/>
  <c r="DM9" i="240"/>
  <c r="DI9" i="240"/>
  <c r="DJ9" i="240" s="1"/>
  <c r="DK9" i="240" s="1"/>
  <c r="DE9" i="240"/>
  <c r="DL9" i="240"/>
  <c r="DH9" i="240"/>
  <c r="DO9" i="240"/>
  <c r="DG9" i="240"/>
  <c r="DN9" i="240"/>
  <c r="DF9" i="240"/>
  <c r="DM10" i="240"/>
  <c r="DI10" i="240"/>
  <c r="DJ10" i="240" s="1"/>
  <c r="DK10" i="240" s="1"/>
  <c r="DE10" i="240"/>
  <c r="DL10" i="240"/>
  <c r="DH10" i="240"/>
  <c r="DO10" i="240"/>
  <c r="DG10" i="240"/>
  <c r="DN10" i="240"/>
  <c r="DF10" i="240"/>
  <c r="DM11" i="240"/>
  <c r="DI11" i="240"/>
  <c r="DJ11" i="240" s="1"/>
  <c r="DK11" i="240" s="1"/>
  <c r="DE11" i="240"/>
  <c r="DL11" i="240"/>
  <c r="DH11" i="240"/>
  <c r="DO11" i="240"/>
  <c r="DG11" i="240"/>
  <c r="DN11" i="240"/>
  <c r="DF11" i="240"/>
  <c r="DM12" i="240"/>
  <c r="DI12" i="240"/>
  <c r="DJ12" i="240" s="1"/>
  <c r="DK12" i="240" s="1"/>
  <c r="DE12" i="240"/>
  <c r="DL12" i="240"/>
  <c r="DH12" i="240"/>
  <c r="DO12" i="240"/>
  <c r="DG12" i="240"/>
  <c r="DN12" i="240"/>
  <c r="DF12" i="240"/>
  <c r="DM13" i="240"/>
  <c r="DI13" i="240"/>
  <c r="DJ13" i="240" s="1"/>
  <c r="DK13" i="240" s="1"/>
  <c r="DE13" i="240"/>
  <c r="DL13" i="240"/>
  <c r="DH13" i="240"/>
  <c r="DO13" i="240"/>
  <c r="DG13" i="240"/>
  <c r="DN13" i="240"/>
  <c r="DF13" i="240"/>
  <c r="DM14" i="240"/>
  <c r="DI14" i="240"/>
  <c r="DJ14" i="240" s="1"/>
  <c r="DK14" i="240" s="1"/>
  <c r="DE14" i="240"/>
  <c r="DL14" i="240"/>
  <c r="DH14" i="240"/>
  <c r="DO14" i="240"/>
  <c r="DG14" i="240"/>
  <c r="DN14" i="240"/>
  <c r="DF14" i="240"/>
  <c r="DM15" i="240"/>
  <c r="DI15" i="240"/>
  <c r="DJ15" i="240" s="1"/>
  <c r="DK15" i="240" s="1"/>
  <c r="DE15" i="240"/>
  <c r="DL15" i="240"/>
  <c r="DH15" i="240"/>
  <c r="DO15" i="240"/>
  <c r="DG15" i="240"/>
  <c r="DN15" i="240"/>
  <c r="DF15" i="240"/>
  <c r="DM16" i="240"/>
  <c r="DI16" i="240"/>
  <c r="DJ16" i="240" s="1"/>
  <c r="DK16" i="240" s="1"/>
  <c r="DE16" i="240"/>
  <c r="DL16" i="240"/>
  <c r="DH16" i="240"/>
  <c r="DO16" i="240"/>
  <c r="DG16" i="240"/>
  <c r="DN16" i="240"/>
  <c r="DF16" i="240"/>
  <c r="DM17" i="240"/>
  <c r="DI17" i="240"/>
  <c r="DJ17" i="240" s="1"/>
  <c r="DK17" i="240" s="1"/>
  <c r="DE17" i="240"/>
  <c r="DL17" i="240"/>
  <c r="DH17" i="240"/>
  <c r="DO17" i="240"/>
  <c r="DG17" i="240"/>
  <c r="DN17" i="240"/>
  <c r="DF17" i="240"/>
  <c r="DM18" i="240"/>
  <c r="DI18" i="240"/>
  <c r="DJ18" i="240" s="1"/>
  <c r="DK18" i="240" s="1"/>
  <c r="DE18" i="240"/>
  <c r="DL18" i="240"/>
  <c r="DH18" i="240"/>
  <c r="DO18" i="240"/>
  <c r="DG18" i="240"/>
  <c r="DN18" i="240"/>
  <c r="DF18" i="240"/>
  <c r="DM19" i="240"/>
  <c r="DI19" i="240"/>
  <c r="DJ19" i="240" s="1"/>
  <c r="DK19" i="240" s="1"/>
  <c r="DE19" i="240"/>
  <c r="DL19" i="240"/>
  <c r="DH19" i="240"/>
  <c r="DO19" i="240"/>
  <c r="DG19" i="240"/>
  <c r="DN19" i="240"/>
  <c r="DF19" i="240"/>
  <c r="DM20" i="240"/>
  <c r="DI20" i="240"/>
  <c r="DJ20" i="240" s="1"/>
  <c r="DK20" i="240" s="1"/>
  <c r="DE20" i="240"/>
  <c r="DL20" i="240"/>
  <c r="DH20" i="240"/>
  <c r="DO20" i="240"/>
  <c r="DG20" i="240"/>
  <c r="DN20" i="240"/>
  <c r="DF20" i="240"/>
  <c r="DM21" i="240"/>
  <c r="DI21" i="240"/>
  <c r="DJ21" i="240" s="1"/>
  <c r="DK21" i="240" s="1"/>
  <c r="DE21" i="240"/>
  <c r="DL21" i="240"/>
  <c r="DH21" i="240"/>
  <c r="DO21" i="240"/>
  <c r="DG21" i="240"/>
  <c r="DN21" i="240"/>
  <c r="DF21" i="240"/>
  <c r="DM22" i="240"/>
  <c r="DI22" i="240"/>
  <c r="DJ22" i="240" s="1"/>
  <c r="DK22" i="240" s="1"/>
  <c r="DE22" i="240"/>
  <c r="DL22" i="240"/>
  <c r="DH22" i="240"/>
  <c r="DO22" i="240"/>
  <c r="DG22" i="240"/>
  <c r="DN22" i="240"/>
  <c r="DF22" i="240"/>
  <c r="DM23" i="240"/>
  <c r="DI23" i="240"/>
  <c r="DJ23" i="240" s="1"/>
  <c r="DK23" i="240" s="1"/>
  <c r="DE23" i="240"/>
  <c r="DL23" i="240"/>
  <c r="DH23" i="240"/>
  <c r="DO23" i="240"/>
  <c r="DG23" i="240"/>
  <c r="DN23" i="240"/>
  <c r="DF23" i="240"/>
  <c r="DM24" i="240"/>
  <c r="DI24" i="240"/>
  <c r="DJ24" i="240" s="1"/>
  <c r="DK24" i="240" s="1"/>
  <c r="DE24" i="240"/>
  <c r="DL24" i="240"/>
  <c r="DH24" i="240"/>
  <c r="DO24" i="240"/>
  <c r="DG24" i="240"/>
  <c r="DN24" i="240"/>
  <c r="DF24" i="240"/>
  <c r="DM25" i="240"/>
  <c r="DI25" i="240"/>
  <c r="DJ25" i="240" s="1"/>
  <c r="DK25" i="240" s="1"/>
  <c r="DE25" i="240"/>
  <c r="DL25" i="240"/>
  <c r="DH25" i="240"/>
  <c r="DO25" i="240"/>
  <c r="DG25" i="240"/>
  <c r="DN25" i="240"/>
  <c r="DF25" i="240"/>
  <c r="DM26" i="240"/>
  <c r="DI26" i="240"/>
  <c r="DJ26" i="240" s="1"/>
  <c r="DK26" i="240" s="1"/>
  <c r="DE26" i="240"/>
  <c r="DL26" i="240"/>
  <c r="DH26" i="240"/>
  <c r="DO26" i="240"/>
  <c r="DG26" i="240"/>
  <c r="DN26" i="240"/>
  <c r="DF26" i="240"/>
  <c r="DM27" i="240"/>
  <c r="DI27" i="240"/>
  <c r="DJ27" i="240" s="1"/>
  <c r="DK27" i="240" s="1"/>
  <c r="DE27" i="240"/>
  <c r="DL27" i="240"/>
  <c r="DH27" i="240"/>
  <c r="DO27" i="240"/>
  <c r="DG27" i="240"/>
  <c r="DN27" i="240"/>
  <c r="DF27" i="240"/>
  <c r="DM28" i="240"/>
  <c r="DI28" i="240"/>
  <c r="DJ28" i="240" s="1"/>
  <c r="DK28" i="240" s="1"/>
  <c r="DE28" i="240"/>
  <c r="DL28" i="240"/>
  <c r="DH28" i="240"/>
  <c r="DO28" i="240"/>
  <c r="DG28" i="240"/>
  <c r="DN28" i="240"/>
  <c r="DF28" i="240"/>
  <c r="DM29" i="240"/>
  <c r="DI29" i="240"/>
  <c r="DJ29" i="240" s="1"/>
  <c r="DK29" i="240" s="1"/>
  <c r="DE29" i="240"/>
  <c r="DL29" i="240"/>
  <c r="DH29" i="240"/>
  <c r="DO29" i="240"/>
  <c r="DG29" i="240"/>
  <c r="DN29" i="240"/>
  <c r="DF29" i="240"/>
  <c r="DM30" i="240"/>
  <c r="DI30" i="240"/>
  <c r="DJ30" i="240" s="1"/>
  <c r="DK30" i="240" s="1"/>
  <c r="DE30" i="240"/>
  <c r="DL30" i="240"/>
  <c r="DH30" i="240"/>
  <c r="DO30" i="240"/>
  <c r="DG30" i="240"/>
  <c r="DN30" i="240"/>
  <c r="DF30" i="240"/>
  <c r="DM31" i="240"/>
  <c r="DI31" i="240"/>
  <c r="DJ31" i="240" s="1"/>
  <c r="DK31" i="240" s="1"/>
  <c r="DE31" i="240"/>
  <c r="DL31" i="240"/>
  <c r="DH31" i="240"/>
  <c r="DO31" i="240"/>
  <c r="DG31" i="240"/>
  <c r="DN31" i="240"/>
  <c r="DF31" i="240"/>
  <c r="DM32" i="240"/>
  <c r="DI32" i="240"/>
  <c r="DJ32" i="240" s="1"/>
  <c r="DK32" i="240" s="1"/>
  <c r="DE32" i="240"/>
  <c r="DL32" i="240"/>
  <c r="DH32" i="240"/>
  <c r="DO32" i="240"/>
  <c r="DG32" i="240"/>
  <c r="DN32" i="240"/>
  <c r="DF32" i="240"/>
  <c r="DM33" i="240"/>
  <c r="DI33" i="240"/>
  <c r="DJ33" i="240" s="1"/>
  <c r="DK33" i="240" s="1"/>
  <c r="DE33" i="240"/>
  <c r="DL33" i="240"/>
  <c r="DH33" i="240"/>
  <c r="DO33" i="240"/>
  <c r="DG33" i="240"/>
  <c r="DN33" i="240"/>
  <c r="DF33" i="240"/>
  <c r="DM34" i="240"/>
  <c r="DI34" i="240"/>
  <c r="DJ34" i="240" s="1"/>
  <c r="DK34" i="240" s="1"/>
  <c r="DE34" i="240"/>
  <c r="DL34" i="240"/>
  <c r="DH34" i="240"/>
  <c r="DO34" i="240"/>
  <c r="DG34" i="240"/>
  <c r="DN34" i="240"/>
  <c r="DF34" i="240"/>
  <c r="DM35" i="240"/>
  <c r="DI35" i="240"/>
  <c r="DJ35" i="240" s="1"/>
  <c r="DK35" i="240" s="1"/>
  <c r="DE35" i="240"/>
  <c r="DL35" i="240"/>
  <c r="DH35" i="240"/>
  <c r="DO35" i="240"/>
  <c r="DG35" i="240"/>
  <c r="DN35" i="240"/>
  <c r="DF35" i="240"/>
  <c r="DM36" i="240"/>
  <c r="DI36" i="240"/>
  <c r="DJ36" i="240" s="1"/>
  <c r="DK36" i="240" s="1"/>
  <c r="DE36" i="240"/>
  <c r="DL36" i="240"/>
  <c r="DH36" i="240"/>
  <c r="DO36" i="240"/>
  <c r="DG36" i="240"/>
  <c r="DN36" i="240"/>
  <c r="DF36" i="240"/>
  <c r="DT5" i="240"/>
  <c r="DU5" i="240"/>
  <c r="EB6" i="240"/>
  <c r="DX6" i="240"/>
  <c r="DY6" i="240" s="1"/>
  <c r="DZ6" i="240" s="1"/>
  <c r="DT6" i="240"/>
  <c r="EA6" i="240"/>
  <c r="DW6" i="240"/>
  <c r="ED6" i="240"/>
  <c r="DV6" i="240"/>
  <c r="EC6" i="240"/>
  <c r="DU6" i="240"/>
  <c r="EB7" i="240"/>
  <c r="DX7" i="240"/>
  <c r="DY7" i="240" s="1"/>
  <c r="DZ7" i="240" s="1"/>
  <c r="DT7" i="240"/>
  <c r="EA7" i="240"/>
  <c r="DW7" i="240"/>
  <c r="ED7" i="240"/>
  <c r="DV7" i="240"/>
  <c r="EC7" i="240"/>
  <c r="DU7" i="240"/>
  <c r="EB8" i="240"/>
  <c r="DX8" i="240"/>
  <c r="DY8" i="240" s="1"/>
  <c r="DZ8" i="240" s="1"/>
  <c r="DT8" i="240"/>
  <c r="EA8" i="240"/>
  <c r="DW8" i="240"/>
  <c r="ED8" i="240"/>
  <c r="DV8" i="240"/>
  <c r="EC8" i="240"/>
  <c r="DU8" i="240"/>
  <c r="EB9" i="240"/>
  <c r="DX9" i="240"/>
  <c r="DY9" i="240" s="1"/>
  <c r="DZ9" i="240" s="1"/>
  <c r="DT9" i="240"/>
  <c r="EA9" i="240"/>
  <c r="DW9" i="240"/>
  <c r="ED9" i="240"/>
  <c r="DV9" i="240"/>
  <c r="EC9" i="240"/>
  <c r="DU9" i="240"/>
  <c r="EB10" i="240"/>
  <c r="DX10" i="240"/>
  <c r="DY10" i="240" s="1"/>
  <c r="DZ10" i="240" s="1"/>
  <c r="DT10" i="240"/>
  <c r="EA10" i="240"/>
  <c r="DW10" i="240"/>
  <c r="ED10" i="240"/>
  <c r="DV10" i="240"/>
  <c r="EC10" i="240"/>
  <c r="DU10" i="240"/>
  <c r="EB11" i="240"/>
  <c r="DX11" i="240"/>
  <c r="DY11" i="240" s="1"/>
  <c r="DZ11" i="240" s="1"/>
  <c r="DT11" i="240"/>
  <c r="EA11" i="240"/>
  <c r="DW11" i="240"/>
  <c r="ED11" i="240"/>
  <c r="DV11" i="240"/>
  <c r="EC11" i="240"/>
  <c r="DU11" i="240"/>
  <c r="EB12" i="240"/>
  <c r="DX12" i="240"/>
  <c r="DY12" i="240" s="1"/>
  <c r="DZ12" i="240" s="1"/>
  <c r="DT12" i="240"/>
  <c r="EA12" i="240"/>
  <c r="DW12" i="240"/>
  <c r="ED12" i="240"/>
  <c r="DV12" i="240"/>
  <c r="EC12" i="240"/>
  <c r="DU12" i="240"/>
  <c r="EB13" i="240"/>
  <c r="DX13" i="240"/>
  <c r="DY13" i="240" s="1"/>
  <c r="DZ13" i="240" s="1"/>
  <c r="DT13" i="240"/>
  <c r="EA13" i="240"/>
  <c r="DW13" i="240"/>
  <c r="ED13" i="240"/>
  <c r="DV13" i="240"/>
  <c r="EC13" i="240"/>
  <c r="DU13" i="240"/>
  <c r="EB14" i="240"/>
  <c r="DX14" i="240"/>
  <c r="DY14" i="240" s="1"/>
  <c r="DZ14" i="240" s="1"/>
  <c r="DT14" i="240"/>
  <c r="EA14" i="240"/>
  <c r="DW14" i="240"/>
  <c r="ED14" i="240"/>
  <c r="DV14" i="240"/>
  <c r="EC14" i="240"/>
  <c r="DU14" i="240"/>
  <c r="EB15" i="240"/>
  <c r="DX15" i="240"/>
  <c r="DY15" i="240" s="1"/>
  <c r="DZ15" i="240" s="1"/>
  <c r="DT15" i="240"/>
  <c r="DU15" i="240"/>
  <c r="ED15" i="240"/>
  <c r="EC15" i="240"/>
  <c r="EA15" i="240"/>
  <c r="DW15" i="240"/>
  <c r="DV15" i="240"/>
  <c r="ES9" i="240"/>
  <c r="EK9" i="240"/>
  <c r="EQ9" i="240"/>
  <c r="EM9" i="240"/>
  <c r="EN9" i="240" s="1"/>
  <c r="EO9" i="240" s="1"/>
  <c r="EI9" i="240"/>
  <c r="EL9" i="240"/>
  <c r="ER9" i="240"/>
  <c r="EJ9" i="240"/>
  <c r="EP9" i="240"/>
  <c r="ES15" i="240"/>
  <c r="EK15" i="240"/>
  <c r="ER15" i="240"/>
  <c r="EJ15" i="240"/>
  <c r="EQ15" i="240"/>
  <c r="EM15" i="240"/>
  <c r="EN15" i="240" s="1"/>
  <c r="EO15" i="240" s="1"/>
  <c r="EI15" i="240"/>
  <c r="EP15" i="240"/>
  <c r="EL15" i="240"/>
  <c r="EB16" i="240"/>
  <c r="DX16" i="240"/>
  <c r="DY16" i="240" s="1"/>
  <c r="DZ16" i="240" s="1"/>
  <c r="DT16" i="240"/>
  <c r="EA16" i="240"/>
  <c r="ED16" i="240"/>
  <c r="DW16" i="240"/>
  <c r="EC16" i="240"/>
  <c r="DV16" i="240"/>
  <c r="DU16" i="240"/>
  <c r="ES16" i="240"/>
  <c r="EK16" i="240"/>
  <c r="ER16" i="240"/>
  <c r="EJ16" i="240"/>
  <c r="EQ16" i="240"/>
  <c r="EM16" i="240"/>
  <c r="EN16" i="240" s="1"/>
  <c r="EO16" i="240" s="1"/>
  <c r="EI16" i="240"/>
  <c r="EP16" i="240"/>
  <c r="EL16" i="240"/>
  <c r="ES11" i="240"/>
  <c r="EK11" i="240"/>
  <c r="ER11" i="240"/>
  <c r="EJ11" i="240"/>
  <c r="EQ11" i="240"/>
  <c r="EM11" i="240"/>
  <c r="EN11" i="240" s="1"/>
  <c r="EO11" i="240" s="1"/>
  <c r="EI11" i="240"/>
  <c r="EP11" i="240"/>
  <c r="EL11" i="240"/>
  <c r="ES19" i="240"/>
  <c r="EK19" i="240"/>
  <c r="ER19" i="240"/>
  <c r="EJ19" i="240"/>
  <c r="EQ19" i="240"/>
  <c r="EM19" i="240"/>
  <c r="EN19" i="240" s="1"/>
  <c r="EO19" i="240" s="1"/>
  <c r="EI19" i="240"/>
  <c r="EP19" i="240"/>
  <c r="EL19" i="240"/>
  <c r="ES20" i="240"/>
  <c r="EK20" i="240"/>
  <c r="ER20" i="240"/>
  <c r="EJ20" i="240"/>
  <c r="EQ20" i="240"/>
  <c r="EM20" i="240"/>
  <c r="EI20" i="240"/>
  <c r="EP20" i="240"/>
  <c r="EL20" i="240"/>
  <c r="EB17" i="240"/>
  <c r="DX17" i="240"/>
  <c r="DY17" i="240" s="1"/>
  <c r="DZ17" i="240" s="1"/>
  <c r="DT17" i="240"/>
  <c r="EA17" i="240"/>
  <c r="DW17" i="240"/>
  <c r="ED17" i="240"/>
  <c r="DV17" i="240"/>
  <c r="EC17" i="240"/>
  <c r="DU17" i="240"/>
  <c r="EB18" i="240"/>
  <c r="DX18" i="240"/>
  <c r="DY18" i="240" s="1"/>
  <c r="DZ18" i="240" s="1"/>
  <c r="DT18" i="240"/>
  <c r="EA18" i="240"/>
  <c r="DW18" i="240"/>
  <c r="ED18" i="240"/>
  <c r="DV18" i="240"/>
  <c r="EC18" i="240"/>
  <c r="DU18" i="240"/>
  <c r="EB19" i="240"/>
  <c r="DX19" i="240"/>
  <c r="DY19" i="240" s="1"/>
  <c r="DZ19" i="240" s="1"/>
  <c r="DT19" i="240"/>
  <c r="EA19" i="240"/>
  <c r="DW19" i="240"/>
  <c r="ED19" i="240"/>
  <c r="DV19" i="240"/>
  <c r="EC19" i="240"/>
  <c r="DU19" i="240"/>
  <c r="EB20" i="240"/>
  <c r="DX20" i="240"/>
  <c r="DY20" i="240" s="1"/>
  <c r="DZ20" i="240" s="1"/>
  <c r="DT20" i="240"/>
  <c r="EA20" i="240"/>
  <c r="DW20" i="240"/>
  <c r="ED20" i="240"/>
  <c r="DV20" i="240"/>
  <c r="EC20" i="240"/>
  <c r="DU20" i="240"/>
  <c r="EB21" i="240"/>
  <c r="DX21" i="240"/>
  <c r="DY21" i="240" s="1"/>
  <c r="DZ21" i="240" s="1"/>
  <c r="DT21" i="240"/>
  <c r="EA21" i="240"/>
  <c r="DW21" i="240"/>
  <c r="ED21" i="240"/>
  <c r="DV21" i="240"/>
  <c r="EC21" i="240"/>
  <c r="DU21" i="240"/>
  <c r="EB22" i="240"/>
  <c r="DX22" i="240"/>
  <c r="DY22" i="240" s="1"/>
  <c r="DZ22" i="240" s="1"/>
  <c r="DT22" i="240"/>
  <c r="EA22" i="240"/>
  <c r="DW22" i="240"/>
  <c r="ED22" i="240"/>
  <c r="DV22" i="240"/>
  <c r="DU22" i="240"/>
  <c r="EC22" i="240"/>
  <c r="EB23" i="240"/>
  <c r="DX23" i="240"/>
  <c r="DY23" i="240" s="1"/>
  <c r="DZ23" i="240" s="1"/>
  <c r="DT23" i="240"/>
  <c r="EA23" i="240"/>
  <c r="DW23" i="240"/>
  <c r="ED23" i="240"/>
  <c r="DV23" i="240"/>
  <c r="EC23" i="240"/>
  <c r="DU23" i="240"/>
  <c r="EB24" i="240"/>
  <c r="DX24" i="240"/>
  <c r="DY24" i="240" s="1"/>
  <c r="DZ24" i="240" s="1"/>
  <c r="DT24" i="240"/>
  <c r="EA24" i="240"/>
  <c r="DW24" i="240"/>
  <c r="ED24" i="240"/>
  <c r="DV24" i="240"/>
  <c r="EC24" i="240"/>
  <c r="DU24" i="240"/>
  <c r="EB25" i="240"/>
  <c r="DX25" i="240"/>
  <c r="DY25" i="240" s="1"/>
  <c r="DZ25" i="240" s="1"/>
  <c r="DT25" i="240"/>
  <c r="EA25" i="240"/>
  <c r="DW25" i="240"/>
  <c r="ED25" i="240"/>
  <c r="DV25" i="240"/>
  <c r="EC25" i="240"/>
  <c r="DU25" i="240"/>
  <c r="EB26" i="240"/>
  <c r="DX26" i="240"/>
  <c r="DY26" i="240" s="1"/>
  <c r="DZ26" i="240" s="1"/>
  <c r="DT26" i="240"/>
  <c r="EA26" i="240"/>
  <c r="DW26" i="240"/>
  <c r="ED26" i="240"/>
  <c r="DV26" i="240"/>
  <c r="EC26" i="240"/>
  <c r="DU26" i="240"/>
  <c r="EB27" i="240"/>
  <c r="DX27" i="240"/>
  <c r="DY27" i="240" s="1"/>
  <c r="DZ27" i="240" s="1"/>
  <c r="DT27" i="240"/>
  <c r="EA27" i="240"/>
  <c r="DW27" i="240"/>
  <c r="ED27" i="240"/>
  <c r="DV27" i="240"/>
  <c r="EC27" i="240"/>
  <c r="DU27" i="240"/>
  <c r="EB28" i="240"/>
  <c r="DX28" i="240"/>
  <c r="DY28" i="240" s="1"/>
  <c r="DZ28" i="240" s="1"/>
  <c r="DT28" i="240"/>
  <c r="EA28" i="240"/>
  <c r="DW28" i="240"/>
  <c r="ED28" i="240"/>
  <c r="DV28" i="240"/>
  <c r="EC28" i="240"/>
  <c r="DU28" i="240"/>
  <c r="EB29" i="240"/>
  <c r="DX29" i="240"/>
  <c r="DY29" i="240" s="1"/>
  <c r="DZ29" i="240" s="1"/>
  <c r="DT29" i="240"/>
  <c r="EA29" i="240"/>
  <c r="DW29" i="240"/>
  <c r="ED29" i="240"/>
  <c r="DV29" i="240"/>
  <c r="EC29" i="240"/>
  <c r="DU29" i="240"/>
  <c r="EB30" i="240"/>
  <c r="DX30" i="240"/>
  <c r="DY30" i="240" s="1"/>
  <c r="DZ30" i="240" s="1"/>
  <c r="DT30" i="240"/>
  <c r="EA30" i="240"/>
  <c r="DW30" i="240"/>
  <c r="ED30" i="240"/>
  <c r="DV30" i="240"/>
  <c r="DU30" i="240"/>
  <c r="EC30" i="240"/>
  <c r="EB31" i="240"/>
  <c r="DX31" i="240"/>
  <c r="DY31" i="240" s="1"/>
  <c r="DZ31" i="240" s="1"/>
  <c r="DT31" i="240"/>
  <c r="EA31" i="240"/>
  <c r="DW31" i="240"/>
  <c r="ED31" i="240"/>
  <c r="DV31" i="240"/>
  <c r="EC31" i="240"/>
  <c r="DU31" i="240"/>
  <c r="EB32" i="240"/>
  <c r="DX32" i="240"/>
  <c r="DY32" i="240" s="1"/>
  <c r="DZ32" i="240" s="1"/>
  <c r="DT32" i="240"/>
  <c r="EA32" i="240"/>
  <c r="DW32" i="240"/>
  <c r="ED32" i="240"/>
  <c r="DV32" i="240"/>
  <c r="EC32" i="240"/>
  <c r="DU32" i="240"/>
  <c r="EB33" i="240"/>
  <c r="DX33" i="240"/>
  <c r="DY33" i="240" s="1"/>
  <c r="DZ33" i="240" s="1"/>
  <c r="DT33" i="240"/>
  <c r="EA33" i="240"/>
  <c r="DW33" i="240"/>
  <c r="ED33" i="240"/>
  <c r="DV33" i="240"/>
  <c r="EC33" i="240"/>
  <c r="DU33" i="240"/>
  <c r="EB34" i="240"/>
  <c r="DX34" i="240"/>
  <c r="DY34" i="240" s="1"/>
  <c r="DZ34" i="240" s="1"/>
  <c r="DT34" i="240"/>
  <c r="EA34" i="240"/>
  <c r="DW34" i="240"/>
  <c r="ED34" i="240"/>
  <c r="DV34" i="240"/>
  <c r="EC34" i="240"/>
  <c r="DU34" i="240"/>
  <c r="EB35" i="240"/>
  <c r="DX35" i="240"/>
  <c r="DY35" i="240" s="1"/>
  <c r="DZ35" i="240" s="1"/>
  <c r="DT35" i="240"/>
  <c r="EA35" i="240"/>
  <c r="DW35" i="240"/>
  <c r="ED35" i="240"/>
  <c r="DV35" i="240"/>
  <c r="EC35" i="240"/>
  <c r="DU35" i="240"/>
  <c r="EB36" i="240"/>
  <c r="DX36" i="240"/>
  <c r="DY36" i="240" s="1"/>
  <c r="DZ36" i="240" s="1"/>
  <c r="DT36" i="240"/>
  <c r="EA36" i="240"/>
  <c r="DW36" i="240"/>
  <c r="ED36" i="240"/>
  <c r="DV36" i="240"/>
  <c r="EC36" i="240"/>
  <c r="DU36" i="240"/>
  <c r="EN20" i="240"/>
  <c r="EO20" i="240" s="1"/>
  <c r="EI5" i="240"/>
  <c r="EJ5" i="240"/>
  <c r="EQ6" i="240"/>
  <c r="EM6" i="240"/>
  <c r="EN6" i="240" s="1"/>
  <c r="EO6" i="240" s="1"/>
  <c r="EI6" i="240"/>
  <c r="EP6" i="240"/>
  <c r="EL6" i="240"/>
  <c r="ES6" i="240"/>
  <c r="EK6" i="240"/>
  <c r="ER6" i="240"/>
  <c r="EJ6" i="240"/>
  <c r="EQ7" i="240"/>
  <c r="EM7" i="240"/>
  <c r="EN7" i="240" s="1"/>
  <c r="EO7" i="240" s="1"/>
  <c r="EI7" i="240"/>
  <c r="EP7" i="240"/>
  <c r="EL7" i="240"/>
  <c r="ES7" i="240"/>
  <c r="EK7" i="240"/>
  <c r="ER7" i="240"/>
  <c r="EJ7" i="240"/>
  <c r="EQ8" i="240"/>
  <c r="ER8" i="240"/>
  <c r="EM8" i="240"/>
  <c r="EN8" i="240" s="1"/>
  <c r="EO8" i="240" s="1"/>
  <c r="EI8" i="240"/>
  <c r="EP8" i="240"/>
  <c r="EL8" i="240"/>
  <c r="EK8" i="240"/>
  <c r="ES8" i="240"/>
  <c r="EJ8" i="240"/>
  <c r="ES14" i="240"/>
  <c r="EK14" i="240"/>
  <c r="ER14" i="240"/>
  <c r="EJ14" i="240"/>
  <c r="EQ14" i="240"/>
  <c r="EM14" i="240"/>
  <c r="EN14" i="240" s="1"/>
  <c r="EO14" i="240" s="1"/>
  <c r="EI14" i="240"/>
  <c r="EL14" i="240"/>
  <c r="EP14" i="240"/>
  <c r="ES18" i="240"/>
  <c r="EK18" i="240"/>
  <c r="ER18" i="240"/>
  <c r="EJ18" i="240"/>
  <c r="EQ18" i="240"/>
  <c r="EM18" i="240"/>
  <c r="EN18" i="240" s="1"/>
  <c r="EO18" i="240" s="1"/>
  <c r="EI18" i="240"/>
  <c r="EL18" i="240"/>
  <c r="EP18" i="240"/>
  <c r="ES10" i="240"/>
  <c r="EK10" i="240"/>
  <c r="EQ10" i="240"/>
  <c r="EM10" i="240"/>
  <c r="EN10" i="240" s="1"/>
  <c r="EO10" i="240" s="1"/>
  <c r="EI10" i="240"/>
  <c r="EP10" i="240"/>
  <c r="ER10" i="240"/>
  <c r="EL10" i="240"/>
  <c r="EJ10" i="240"/>
  <c r="ES13" i="240"/>
  <c r="EK13" i="240"/>
  <c r="ER13" i="240"/>
  <c r="EJ13" i="240"/>
  <c r="EQ13" i="240"/>
  <c r="EM13" i="240"/>
  <c r="EN13" i="240" s="1"/>
  <c r="EO13" i="240" s="1"/>
  <c r="EI13" i="240"/>
  <c r="EP13" i="240"/>
  <c r="EL13" i="240"/>
  <c r="ES17" i="240"/>
  <c r="EK17" i="240"/>
  <c r="ER17" i="240"/>
  <c r="EJ17" i="240"/>
  <c r="EQ17" i="240"/>
  <c r="EM17" i="240"/>
  <c r="EN17" i="240" s="1"/>
  <c r="EO17" i="240" s="1"/>
  <c r="EI17" i="240"/>
  <c r="EL17" i="240"/>
  <c r="EP17" i="240"/>
  <c r="EP21" i="240"/>
  <c r="EL21" i="240"/>
  <c r="ES21" i="240"/>
  <c r="EK21" i="240"/>
  <c r="ER21" i="240"/>
  <c r="EJ21" i="240"/>
  <c r="EQ21" i="240"/>
  <c r="EM21" i="240"/>
  <c r="EN21" i="240" s="1"/>
  <c r="EO21" i="240" s="1"/>
  <c r="EI21" i="240"/>
  <c r="EP22" i="240"/>
  <c r="EL22" i="240"/>
  <c r="ES22" i="240"/>
  <c r="EK22" i="240"/>
  <c r="ER22" i="240"/>
  <c r="EJ22" i="240"/>
  <c r="EQ22" i="240"/>
  <c r="EM22" i="240"/>
  <c r="EN22" i="240" s="1"/>
  <c r="EO22" i="240" s="1"/>
  <c r="EI22" i="240"/>
  <c r="EP23" i="240"/>
  <c r="EL23" i="240"/>
  <c r="ES23" i="240"/>
  <c r="EK23" i="240"/>
  <c r="ER23" i="240"/>
  <c r="EJ23" i="240"/>
  <c r="EQ23" i="240"/>
  <c r="EM23" i="240"/>
  <c r="EN23" i="240" s="1"/>
  <c r="EO23" i="240" s="1"/>
  <c r="EI23" i="240"/>
  <c r="EP24" i="240"/>
  <c r="EL24" i="240"/>
  <c r="ES24" i="240"/>
  <c r="EK24" i="240"/>
  <c r="ER24" i="240"/>
  <c r="EJ24" i="240"/>
  <c r="EQ24" i="240"/>
  <c r="EM24" i="240"/>
  <c r="EN24" i="240" s="1"/>
  <c r="EO24" i="240" s="1"/>
  <c r="EI24" i="240"/>
  <c r="EP25" i="240"/>
  <c r="EL25" i="240"/>
  <c r="ES25" i="240"/>
  <c r="EK25" i="240"/>
  <c r="ER25" i="240"/>
  <c r="EJ25" i="240"/>
  <c r="EQ25" i="240"/>
  <c r="EM25" i="240"/>
  <c r="EN25" i="240" s="1"/>
  <c r="EO25" i="240" s="1"/>
  <c r="EI25" i="240"/>
  <c r="EP26" i="240"/>
  <c r="EL26" i="240"/>
  <c r="ES26" i="240"/>
  <c r="EK26" i="240"/>
  <c r="ER26" i="240"/>
  <c r="EJ26" i="240"/>
  <c r="EQ26" i="240"/>
  <c r="EM26" i="240"/>
  <c r="EN26" i="240" s="1"/>
  <c r="EO26" i="240" s="1"/>
  <c r="EI26" i="240"/>
  <c r="EP27" i="240"/>
  <c r="EL27" i="240"/>
  <c r="ES27" i="240"/>
  <c r="EK27" i="240"/>
  <c r="ER27" i="240"/>
  <c r="EJ27" i="240"/>
  <c r="EQ27" i="240"/>
  <c r="EM27" i="240"/>
  <c r="EN27" i="240" s="1"/>
  <c r="EO27" i="240" s="1"/>
  <c r="EI27" i="240"/>
  <c r="EP28" i="240"/>
  <c r="EL28" i="240"/>
  <c r="ES28" i="240"/>
  <c r="EK28" i="240"/>
  <c r="ER28" i="240"/>
  <c r="EJ28" i="240"/>
  <c r="EQ28" i="240"/>
  <c r="EM28" i="240"/>
  <c r="EN28" i="240" s="1"/>
  <c r="EO28" i="240" s="1"/>
  <c r="EI28" i="240"/>
  <c r="EP29" i="240"/>
  <c r="EL29" i="240"/>
  <c r="ES29" i="240"/>
  <c r="EK29" i="240"/>
  <c r="ER29" i="240"/>
  <c r="EJ29" i="240"/>
  <c r="EQ29" i="240"/>
  <c r="EM29" i="240"/>
  <c r="EN29" i="240" s="1"/>
  <c r="EO29" i="240" s="1"/>
  <c r="EI29" i="240"/>
  <c r="EP30" i="240"/>
  <c r="EL30" i="240"/>
  <c r="ES30" i="240"/>
  <c r="EK30" i="240"/>
  <c r="ER30" i="240"/>
  <c r="EJ30" i="240"/>
  <c r="EQ30" i="240"/>
  <c r="EM30" i="240"/>
  <c r="EN30" i="240" s="1"/>
  <c r="EO30" i="240" s="1"/>
  <c r="EI30" i="240"/>
  <c r="EP31" i="240"/>
  <c r="EL31" i="240"/>
  <c r="ES31" i="240"/>
  <c r="EK31" i="240"/>
  <c r="ER31" i="240"/>
  <c r="EJ31" i="240"/>
  <c r="EQ31" i="240"/>
  <c r="EM31" i="240"/>
  <c r="EN31" i="240" s="1"/>
  <c r="EO31" i="240" s="1"/>
  <c r="EI31" i="240"/>
  <c r="EP32" i="240"/>
  <c r="EL32" i="240"/>
  <c r="ES32" i="240"/>
  <c r="EK32" i="240"/>
  <c r="ER32" i="240"/>
  <c r="EJ32" i="240"/>
  <c r="EQ32" i="240"/>
  <c r="EM32" i="240"/>
  <c r="EN32" i="240" s="1"/>
  <c r="EO32" i="240" s="1"/>
  <c r="EI32" i="240"/>
  <c r="EP33" i="240"/>
  <c r="EL33" i="240"/>
  <c r="ES33" i="240"/>
  <c r="EK33" i="240"/>
  <c r="ER33" i="240"/>
  <c r="EJ33" i="240"/>
  <c r="EQ33" i="240"/>
  <c r="EM33" i="240"/>
  <c r="EN33" i="240" s="1"/>
  <c r="EO33" i="240" s="1"/>
  <c r="EI33" i="240"/>
  <c r="EP34" i="240"/>
  <c r="EL34" i="240"/>
  <c r="ES34" i="240"/>
  <c r="EK34" i="240"/>
  <c r="ER34" i="240"/>
  <c r="EJ34" i="240"/>
  <c r="EQ34" i="240"/>
  <c r="EM34" i="240"/>
  <c r="EN34" i="240" s="1"/>
  <c r="EO34" i="240" s="1"/>
  <c r="EI34" i="240"/>
  <c r="EP35" i="240"/>
  <c r="EL35" i="240"/>
  <c r="ES35" i="240"/>
  <c r="EK35" i="240"/>
  <c r="ER35" i="240"/>
  <c r="EJ35" i="240"/>
  <c r="EQ35" i="240"/>
  <c r="EM35" i="240"/>
  <c r="EN35" i="240" s="1"/>
  <c r="EO35" i="240" s="1"/>
  <c r="EI35" i="240"/>
  <c r="EP36" i="240"/>
  <c r="EL36" i="240"/>
  <c r="ES36" i="240"/>
  <c r="EK36" i="240"/>
  <c r="ER36" i="240"/>
  <c r="EJ36" i="240"/>
  <c r="EQ36" i="240"/>
  <c r="EM36" i="240"/>
  <c r="EN36" i="240" s="1"/>
  <c r="EO36" i="240" s="1"/>
  <c r="EI36" i="240"/>
  <c r="D22" i="231"/>
  <c r="AM3" i="240"/>
  <c r="CF3" i="240"/>
  <c r="X3" i="240"/>
  <c r="BQ3" i="240"/>
  <c r="BB3" i="240"/>
  <c r="I3" i="240"/>
  <c r="H7" i="240" l="1"/>
  <c r="I7" i="240" s="1"/>
  <c r="J7" i="240" s="1"/>
  <c r="BG10" i="240"/>
  <c r="AR14" i="240"/>
  <c r="AR10" i="240"/>
  <c r="AR7" i="240"/>
  <c r="N9" i="240"/>
  <c r="BV9" i="240"/>
  <c r="BV10" i="240"/>
  <c r="BV6" i="240"/>
  <c r="AC6" i="240"/>
  <c r="BV8" i="240"/>
  <c r="CK6" i="240"/>
  <c r="AC9" i="240"/>
  <c r="B1" i="240"/>
  <c r="CG6" i="240"/>
  <c r="CE7" i="240"/>
  <c r="CF7" i="240" s="1"/>
  <c r="BP8" i="240"/>
  <c r="BQ8" i="240" s="1"/>
  <c r="N12" i="240"/>
  <c r="N8" i="240"/>
  <c r="BV7" i="240"/>
  <c r="BG8" i="240"/>
  <c r="BG7" i="240"/>
  <c r="AR13" i="240"/>
  <c r="AR9" i="240"/>
  <c r="N11" i="240"/>
  <c r="N7" i="240"/>
  <c r="CK7" i="240"/>
  <c r="CK8" i="240"/>
  <c r="BG6" i="240"/>
  <c r="BA7" i="240"/>
  <c r="BB7" i="240" s="1"/>
  <c r="AR12" i="240"/>
  <c r="AR8" i="240"/>
  <c r="AL7" i="240"/>
  <c r="AM7" i="240" s="1"/>
  <c r="AC8" i="240"/>
  <c r="W7" i="240"/>
  <c r="X7" i="240" s="1"/>
  <c r="AC7" i="240"/>
  <c r="N14" i="240"/>
  <c r="N10" i="240"/>
  <c r="BV11" i="240"/>
  <c r="BG9" i="240"/>
  <c r="AR6" i="240"/>
  <c r="N6" i="240"/>
  <c r="AR11" i="240"/>
  <c r="N13" i="240"/>
  <c r="H8" i="240"/>
  <c r="I8" i="240" s="1"/>
  <c r="CK5" i="240"/>
  <c r="BG5" i="240"/>
  <c r="AR5" i="240"/>
  <c r="ES5" i="240"/>
  <c r="BV5" i="240"/>
  <c r="N5" i="240"/>
  <c r="ED5" i="240"/>
  <c r="DO5" i="240"/>
  <c r="CZ5" i="240"/>
  <c r="AC5" i="240"/>
  <c r="BR8" i="240" l="1"/>
  <c r="BP9" i="240"/>
  <c r="BQ9" i="240" s="1"/>
  <c r="CG7" i="240"/>
  <c r="CE8" i="240"/>
  <c r="CF8" i="240" s="1"/>
  <c r="CG8" i="240" s="1"/>
  <c r="J8" i="240"/>
  <c r="H9" i="240"/>
  <c r="I9" i="240" s="1"/>
  <c r="AN7" i="240"/>
  <c r="AL8" i="240"/>
  <c r="AM8" i="240" s="1"/>
  <c r="Y7" i="240"/>
  <c r="W8" i="240"/>
  <c r="X8" i="240" s="1"/>
  <c r="BC7" i="240"/>
  <c r="BA8" i="240"/>
  <c r="BB8" i="240" s="1"/>
  <c r="AN8" i="240" l="1"/>
  <c r="AL9" i="240"/>
  <c r="AM9" i="240" s="1"/>
  <c r="J9" i="240"/>
  <c r="H10" i="240"/>
  <c r="I10" i="240" s="1"/>
  <c r="BC8" i="240"/>
  <c r="BA9" i="240"/>
  <c r="BB9" i="240" s="1"/>
  <c r="Y8" i="240"/>
  <c r="W9" i="240"/>
  <c r="X9" i="240" s="1"/>
  <c r="Y9" i="240" s="1"/>
  <c r="BR9" i="240"/>
  <c r="BP10" i="240"/>
  <c r="BQ10" i="240" s="1"/>
  <c r="J10" i="240" l="1"/>
  <c r="H11" i="240"/>
  <c r="I11" i="240" s="1"/>
  <c r="BR10" i="240"/>
  <c r="BP11" i="240"/>
  <c r="BQ11" i="240" s="1"/>
  <c r="BR11" i="240" s="1"/>
  <c r="AN9" i="240"/>
  <c r="AL10" i="240"/>
  <c r="AM10" i="240" s="1"/>
  <c r="BC9" i="240"/>
  <c r="BA10" i="240"/>
  <c r="BB10" i="240" s="1"/>
  <c r="BC10" i="240" s="1"/>
  <c r="J11" i="240" l="1"/>
  <c r="H12" i="240"/>
  <c r="I12" i="240" s="1"/>
  <c r="AN10" i="240"/>
  <c r="AL11" i="240"/>
  <c r="AM11" i="240" s="1"/>
  <c r="AN11" i="240" l="1"/>
  <c r="AL12" i="240"/>
  <c r="AM12" i="240" s="1"/>
  <c r="J12" i="240"/>
  <c r="H13" i="240"/>
  <c r="I13" i="240" s="1"/>
  <c r="J13" i="240" l="1"/>
  <c r="H14" i="240"/>
  <c r="I14" i="240" s="1"/>
  <c r="J14" i="240" s="1"/>
  <c r="AN12" i="240"/>
  <c r="AL13" i="240"/>
  <c r="AM13" i="240" s="1"/>
  <c r="AN13" i="240" l="1"/>
  <c r="AL14" i="240"/>
  <c r="AM14" i="240" s="1"/>
  <c r="AN14" i="240" s="1"/>
</calcChain>
</file>

<file path=xl/sharedStrings.xml><?xml version="1.0" encoding="utf-8"?>
<sst xmlns="http://schemas.openxmlformats.org/spreadsheetml/2006/main" count="2281" uniqueCount="131">
  <si>
    <t>Sequence</t>
  </si>
  <si>
    <t>Parameter</t>
  </si>
  <si>
    <t>Value</t>
  </si>
  <si>
    <t>Remarks</t>
  </si>
  <si>
    <t>0.Optional - GIS License</t>
  </si>
  <si>
    <t>Bing Maps Key</t>
  </si>
  <si>
    <t>1.Locations</t>
  </si>
  <si>
    <t>Number of customers</t>
  </si>
  <si>
    <t>2.Distances</t>
  </si>
  <si>
    <t>Distance / duration computation</t>
  </si>
  <si>
    <t>Bing Maps route type</t>
  </si>
  <si>
    <t>Fastest</t>
  </si>
  <si>
    <t>Average vehicle speed</t>
  </si>
  <si>
    <t>3.Vehicles</t>
  </si>
  <si>
    <t>Number of vehicle types</t>
  </si>
  <si>
    <t>Heterogeneous VRP if greater than 1</t>
  </si>
  <si>
    <t>4.Solution</t>
  </si>
  <si>
    <t>Yes</t>
  </si>
  <si>
    <t>Time window type</t>
  </si>
  <si>
    <t>Hard</t>
  </si>
  <si>
    <t>5.Optional - Visualization</t>
  </si>
  <si>
    <t>Visualization background</t>
  </si>
  <si>
    <t>Location labels</t>
  </si>
  <si>
    <t>6.Solver</t>
  </si>
  <si>
    <t>Warm start?</t>
  </si>
  <si>
    <t>CPU time limit (seconds)</t>
  </si>
  <si>
    <t>[5,200]</t>
  </si>
  <si>
    <t>Number of depots</t>
  </si>
  <si>
    <t>[1,20]</t>
  </si>
  <si>
    <t>Vehicles must return to the depot?</t>
  </si>
  <si>
    <t>Open VRP if no return</t>
  </si>
  <si>
    <t>No</t>
  </si>
  <si>
    <t xml:space="preserve">May slow down the optimization algorithm  </t>
  </si>
  <si>
    <t>Backhauls?</t>
  </si>
  <si>
    <t>Show progress on the status bar?</t>
  </si>
  <si>
    <t>If activated, delivery locations must be visited before pickup locations</t>
  </si>
  <si>
    <t>Bing Maps</t>
  </si>
  <si>
    <t>Not used for the 'Bing Maps driving distances' options</t>
  </si>
  <si>
    <t>Location IDs</t>
  </si>
  <si>
    <t>You can get a free trial key at https://www.bingmapsportal.com/</t>
  </si>
  <si>
    <t>Recommendation: Use 'postcode, country' format for addresses</t>
  </si>
  <si>
    <t>Recommendation: Use 'Fastest'</t>
  </si>
  <si>
    <t>AiR-jazd_5qqVzVevpDqFWIH-tNHLqKqMX07DbE7TfWFlRzSS75UiA2FaAfsYLWr</t>
  </si>
  <si>
    <t>Location ID</t>
  </si>
  <si>
    <t>Name</t>
  </si>
  <si>
    <t>Address</t>
  </si>
  <si>
    <t>Latitude (y)</t>
  </si>
  <si>
    <t>Longitude (x)</t>
  </si>
  <si>
    <t>Time window start</t>
  </si>
  <si>
    <t>Time window end</t>
  </si>
  <si>
    <t>Must be visited?</t>
  </si>
  <si>
    <t>Service time</t>
  </si>
  <si>
    <t>Pickup amount</t>
  </si>
  <si>
    <t>Delivery amount</t>
  </si>
  <si>
    <t>Profit</t>
  </si>
  <si>
    <t>Depot</t>
  </si>
  <si>
    <t>Starting location</t>
  </si>
  <si>
    <t>Customer 1</t>
  </si>
  <si>
    <t>Must be visited</t>
  </si>
  <si>
    <t>Customer 2</t>
  </si>
  <si>
    <t>Customer 3</t>
  </si>
  <si>
    <t>Customer 4</t>
  </si>
  <si>
    <t>Customer 5</t>
  </si>
  <si>
    <t>Customer 6</t>
  </si>
  <si>
    <t>Customer 7</t>
  </si>
  <si>
    <t>Customer 8</t>
  </si>
  <si>
    <t>Customer 9</t>
  </si>
  <si>
    <t>Customer 10</t>
  </si>
  <si>
    <t>Customer 11</t>
  </si>
  <si>
    <t>Customer 12</t>
  </si>
  <si>
    <t>Customer 13</t>
  </si>
  <si>
    <t>Customer 14</t>
  </si>
  <si>
    <t>Customer 15</t>
  </si>
  <si>
    <t>Customer 16</t>
  </si>
  <si>
    <t>Customer 17</t>
  </si>
  <si>
    <t>Customer 18</t>
  </si>
  <si>
    <t>Customer 19</t>
  </si>
  <si>
    <t>Customer 20</t>
  </si>
  <si>
    <t>Customer 21</t>
  </si>
  <si>
    <t>Customer 22</t>
  </si>
  <si>
    <t>Customer 23</t>
  </si>
  <si>
    <t>Customer 24</t>
  </si>
  <si>
    <t>Customer 25</t>
  </si>
  <si>
    <t>Customer 26</t>
  </si>
  <si>
    <t>Customer 27</t>
  </si>
  <si>
    <t>Customer 28</t>
  </si>
  <si>
    <t>Customer 29</t>
  </si>
  <si>
    <t>Customer 30</t>
  </si>
  <si>
    <t>From</t>
  </si>
  <si>
    <t>To</t>
  </si>
  <si>
    <t>Distance</t>
  </si>
  <si>
    <t>Duration</t>
  </si>
  <si>
    <t>Method:</t>
  </si>
  <si>
    <t>Starting depot</t>
  </si>
  <si>
    <t>Vehicle type</t>
  </si>
  <si>
    <t>Capacity</t>
  </si>
  <si>
    <t>Fixed cost per trip</t>
  </si>
  <si>
    <t>Cost per unit distance</t>
  </si>
  <si>
    <t>Distance limit</t>
  </si>
  <si>
    <t>Work start time</t>
  </si>
  <si>
    <t>Driving time limit</t>
  </si>
  <si>
    <t>Working time limit</t>
  </si>
  <si>
    <t>Return depot</t>
  </si>
  <si>
    <t>Destination ID</t>
  </si>
  <si>
    <t>Number of vehicles</t>
  </si>
  <si>
    <t>T1</t>
  </si>
  <si>
    <t>Total net profit:</t>
  </si>
  <si>
    <t>Stop count</t>
  </si>
  <si>
    <t>Location name</t>
  </si>
  <si>
    <t>Distance travelled</t>
  </si>
  <si>
    <t>Driving time</t>
  </si>
  <si>
    <t>Arrival time</t>
  </si>
  <si>
    <t>Departure time</t>
  </si>
  <si>
    <t>Working time</t>
  </si>
  <si>
    <t>Profit collected</t>
  </si>
  <si>
    <t>Load</t>
  </si>
  <si>
    <t>Vehicle:</t>
  </si>
  <si>
    <t>V1</t>
  </si>
  <si>
    <t>Stops:</t>
  </si>
  <si>
    <t>Net profit: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</si>
  <si>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</si>
  <si>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</si>
  <si>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</si>
  <si>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</si>
  <si>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</si>
  <si>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</si>
  <si>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</si>
  <si>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</si>
  <si>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</si>
  <si>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Detected reasons of infeasibility</t>
  </si>
  <si>
    <t>Euclidian distances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</si>
</sst>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"/>
    <numFmt numFmtId="165" formatCode="hh:mm"/>
    <numFmt numFmtId="166" formatCode="[h]:mm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0"/>
      <color indexed="8"/>
      <name val="Arial"/>
      <family val="2"/>
    </font>
    <font>
      <b/>
      <sz val="11"/>
      <color indexed="9"/>
      <name val="Calibri"/>
      <family val="2"/>
    </font>
    <font>
      <sz val="8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9C0006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i/>
      <sz val="10"/>
      <color rgb="FF7F7F7F"/>
      <name val="Arial"/>
      <family val="2"/>
    </font>
    <font>
      <sz val="10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FA7D00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b/>
      <sz val="18"/>
      <color theme="3"/>
      <name val="Cambria"/>
      <family val="2"/>
      <scheme val="major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rgb="FF333333"/>
      <name val="Arial"/>
      <family val="2"/>
      <charset val="16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indexed="17" tint="-1.9989623706778162E-2"/>
        <bgColor indexed="64"/>
      </patternFill>
    </fill>
    <fill>
      <patternFill patternType="solid">
        <fgColor indexed="17" tint="1.9989623706778162E-2"/>
        <bgColor indexed="64"/>
      </patternFill>
    </fill>
    <fill>
      <patternFill patternType="solid">
        <fgColor indexed="13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indexed="9"/>
      </bottom>
      <diagonal/>
    </border>
    <border>
      <left/>
      <right/>
      <top style="thick">
        <color indexed="9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/>
      <bottom/>
      <diagonal/>
    </border>
    <border>
      <left/>
      <right style="thin">
        <color indexed="23"/>
      </right>
      <top style="thick">
        <color indexed="9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</borders>
  <cellStyleXfs count="45">
    <xf numFmtId="0" fontId="0" fillId="0" borderId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7" fillId="28" borderId="0" applyNumberFormat="0" applyBorder="0" applyAlignment="0" applyProtection="0"/>
    <xf numFmtId="0" fontId="8" fillId="29" borderId="3" applyNumberFormat="0" applyAlignment="0" applyProtection="0"/>
    <xf numFmtId="0" fontId="9" fillId="30" borderId="4" applyNumberFormat="0" applyAlignment="0" applyProtection="0"/>
    <xf numFmtId="0" fontId="10" fillId="0" borderId="0" applyNumberFormat="0" applyFill="0" applyBorder="0" applyAlignment="0" applyProtection="0"/>
    <xf numFmtId="0" fontId="11" fillId="31" borderId="0" applyNumberFormat="0" applyBorder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15" fillId="32" borderId="3" applyNumberFormat="0" applyAlignment="0" applyProtection="0"/>
    <xf numFmtId="0" fontId="16" fillId="0" borderId="8" applyNumberFormat="0" applyFill="0" applyAlignment="0" applyProtection="0"/>
    <xf numFmtId="0" fontId="17" fillId="33" borderId="0" applyNumberFormat="0" applyBorder="0" applyAlignment="0" applyProtection="0"/>
    <xf numFmtId="0" fontId="5" fillId="0" borderId="0"/>
    <xf numFmtId="0" fontId="2" fillId="34" borderId="9" applyNumberFormat="0" applyFont="0" applyAlignment="0" applyProtection="0"/>
    <xf numFmtId="0" fontId="18" fillId="29" borderId="10" applyNumberFormat="0" applyAlignment="0" applyProtection="0"/>
    <xf numFmtId="0" fontId="19" fillId="0" borderId="0" applyNumberFormat="0" applyFill="0" applyBorder="0" applyAlignment="0" applyProtection="0"/>
    <xf numFmtId="0" fontId="20" fillId="0" borderId="11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5" fillId="0" borderId="0"/>
  </cellStyleXfs>
  <cellXfs count="75">
    <xf numFmtId="0" fontId="0" fillId="0" borderId="0" xfId="0"/>
    <xf numFmtId="0" fontId="3" fillId="2" borderId="0" xfId="0" applyFont="1" applyFill="1" applyBorder="1"/>
    <xf numFmtId="0" fontId="0" fillId="0" borderId="1" xfId="0" applyBorder="1"/>
    <xf numFmtId="0" fontId="0" fillId="0" borderId="2" xfId="0" applyBorder="1"/>
    <xf numFmtId="0" fontId="22" fillId="0" borderId="1" xfId="0" applyFont="1" applyBorder="1"/>
    <xf numFmtId="0" fontId="23" fillId="3" borderId="1" xfId="0" applyFont="1" applyFill="1" applyBorder="1"/>
    <xf numFmtId="0" fontId="22" fillId="0" borderId="2" xfId="0" applyFont="1" applyBorder="1"/>
    <xf numFmtId="0" fontId="23" fillId="3" borderId="2" xfId="0" applyFont="1" applyFill="1" applyBorder="1"/>
    <xf numFmtId="0" fontId="24" fillId="0" borderId="0" xfId="0" applyFont="1"/>
    <xf numFmtId="0" fontId="26" fillId="0" borderId="0" xfId="0" applyFont="1"/>
    <xf numFmtId="0" fontId="22" fillId="0" borderId="0" xfId="0" applyFont="1"/>
    <xf numFmtId="0" fontId="23" fillId="2" borderId="12" xfId="0" applyFont="1" applyFill="1" applyBorder="1"/>
    <xf numFmtId="165" fontId="22" fillId="0" borderId="0" xfId="0" applyNumberFormat="1" applyFont="1"/>
    <xf numFmtId="0" fontId="23" fillId="2" borderId="0" xfId="0" applyFont="1" applyFill="1" applyBorder="1"/>
    <xf numFmtId="0" fontId="23" fillId="2" borderId="13" xfId="0" applyFont="1" applyFill="1" applyBorder="1"/>
    <xf numFmtId="0" fontId="23" fillId="35" borderId="1" xfId="0" applyFont="1" applyFill="1" applyBorder="1"/>
    <xf numFmtId="0" fontId="23" fillId="2" borderId="1" xfId="0" applyFont="1" applyFill="1" applyBorder="1"/>
    <xf numFmtId="0" fontId="23" fillId="2" borderId="14" xfId="0" applyFont="1" applyFill="1" applyBorder="1"/>
    <xf numFmtId="0" fontId="23" fillId="35" borderId="14" xfId="0" applyFont="1" applyFill="1" applyBorder="1"/>
    <xf numFmtId="166" fontId="23" fillId="35" borderId="14" xfId="0" applyNumberFormat="1" applyFont="1" applyFill="1" applyBorder="1"/>
    <xf numFmtId="166" fontId="23" fillId="36" borderId="1" xfId="0" applyNumberFormat="1" applyFont="1" applyFill="1" applyBorder="1"/>
    <xf numFmtId="0" fontId="23" fillId="36" borderId="14" xfId="0" applyFont="1" applyFill="1" applyBorder="1"/>
    <xf numFmtId="166" fontId="23" fillId="36" borderId="14" xfId="0" applyNumberFormat="1" applyFont="1" applyFill="1" applyBorder="1"/>
    <xf numFmtId="0" fontId="22" fillId="0" borderId="15" xfId="0" applyFont="1" applyBorder="1"/>
    <xf numFmtId="0" fontId="23" fillId="35" borderId="15" xfId="0" applyFont="1" applyFill="1" applyBorder="1"/>
    <xf numFmtId="0" fontId="23" fillId="36" borderId="16" xfId="0" applyFont="1" applyFill="1" applyBorder="1"/>
    <xf numFmtId="0" fontId="23" fillId="35" borderId="17" xfId="0" applyFont="1" applyFill="1" applyBorder="1"/>
    <xf numFmtId="0" fontId="23" fillId="36" borderId="17" xfId="0" applyFont="1" applyFill="1" applyBorder="1"/>
    <xf numFmtId="0" fontId="23" fillId="35" borderId="18" xfId="0" applyFont="1" applyFill="1" applyBorder="1"/>
    <xf numFmtId="164" fontId="23" fillId="35" borderId="15" xfId="0" applyNumberFormat="1" applyFont="1" applyFill="1" applyBorder="1"/>
    <xf numFmtId="164" fontId="23" fillId="36" borderId="16" xfId="0" applyNumberFormat="1" applyFont="1" applyFill="1" applyBorder="1"/>
    <xf numFmtId="164" fontId="23" fillId="35" borderId="17" xfId="0" applyNumberFormat="1" applyFont="1" applyFill="1" applyBorder="1"/>
    <xf numFmtId="164" fontId="23" fillId="36" borderId="17" xfId="0" applyNumberFormat="1" applyFont="1" applyFill="1" applyBorder="1"/>
    <xf numFmtId="164" fontId="23" fillId="35" borderId="18" xfId="0" applyNumberFormat="1" applyFont="1" applyFill="1" applyBorder="1"/>
    <xf numFmtId="165" fontId="23" fillId="35" borderId="15" xfId="0" applyNumberFormat="1" applyFont="1" applyFill="1" applyBorder="1"/>
    <xf numFmtId="165" fontId="23" fillId="36" borderId="16" xfId="0" applyNumberFormat="1" applyFont="1" applyFill="1" applyBorder="1"/>
    <xf numFmtId="165" fontId="23" fillId="35" borderId="17" xfId="0" applyNumberFormat="1" applyFont="1" applyFill="1" applyBorder="1"/>
    <xf numFmtId="165" fontId="23" fillId="36" borderId="17" xfId="0" applyNumberFormat="1" applyFont="1" applyFill="1" applyBorder="1"/>
    <xf numFmtId="165" fontId="23" fillId="35" borderId="18" xfId="0" applyNumberFormat="1" applyFont="1" applyFill="1" applyBorder="1"/>
    <xf numFmtId="166" fontId="23" fillId="36" borderId="16" xfId="0" applyNumberFormat="1" applyFont="1" applyFill="1" applyBorder="1"/>
    <xf numFmtId="166" fontId="23" fillId="35" borderId="17" xfId="0" applyNumberFormat="1" applyFont="1" applyFill="1" applyBorder="1"/>
    <xf numFmtId="166" fontId="23" fillId="36" borderId="17" xfId="0" applyNumberFormat="1" applyFont="1" applyFill="1" applyBorder="1"/>
    <xf numFmtId="166" fontId="23" fillId="35" borderId="18" xfId="0" applyNumberFormat="1" applyFont="1" applyFill="1" applyBorder="1"/>
    <xf numFmtId="0" fontId="23" fillId="2" borderId="15" xfId="0" applyFont="1" applyFill="1" applyBorder="1"/>
    <xf numFmtId="166" fontId="23" fillId="2" borderId="15" xfId="0" applyNumberFormat="1" applyFont="1" applyFill="1" applyBorder="1"/>
    <xf numFmtId="1" fontId="23" fillId="36" borderId="16" xfId="0" applyNumberFormat="1" applyFont="1" applyFill="1" applyBorder="1"/>
    <xf numFmtId="1" fontId="23" fillId="35" borderId="17" xfId="0" applyNumberFormat="1" applyFont="1" applyFill="1" applyBorder="1"/>
    <xf numFmtId="1" fontId="23" fillId="36" borderId="17" xfId="0" applyNumberFormat="1" applyFont="1" applyFill="1" applyBorder="1"/>
    <xf numFmtId="1" fontId="23" fillId="35" borderId="18" xfId="0" applyNumberFormat="1" applyFont="1" applyFill="1" applyBorder="1"/>
    <xf numFmtId="2" fontId="23" fillId="36" borderId="0" xfId="0" applyNumberFormat="1" applyFont="1" applyFill="1" applyBorder="1"/>
    <xf numFmtId="166" fontId="23" fillId="36" borderId="0" xfId="0" applyNumberFormat="1" applyFont="1" applyFill="1" applyBorder="1"/>
    <xf numFmtId="2" fontId="23" fillId="35" borderId="14" xfId="0" applyNumberFormat="1" applyFont="1" applyFill="1" applyBorder="1"/>
    <xf numFmtId="2" fontId="23" fillId="36" borderId="1" xfId="0" applyNumberFormat="1" applyFont="1" applyFill="1" applyBorder="1"/>
    <xf numFmtId="2" fontId="23" fillId="36" borderId="14" xfId="0" applyNumberFormat="1" applyFont="1" applyFill="1" applyBorder="1"/>
    <xf numFmtId="0" fontId="23" fillId="3" borderId="12" xfId="0" applyFont="1" applyFill="1" applyBorder="1"/>
    <xf numFmtId="2" fontId="23" fillId="3" borderId="12" xfId="0" applyNumberFormat="1" applyFont="1" applyFill="1" applyBorder="1"/>
    <xf numFmtId="165" fontId="23" fillId="3" borderId="12" xfId="0" applyNumberFormat="1" applyFont="1" applyFill="1" applyBorder="1"/>
    <xf numFmtId="166" fontId="23" fillId="3" borderId="12" xfId="0" applyNumberFormat="1" applyFont="1" applyFill="1" applyBorder="1"/>
    <xf numFmtId="0" fontId="27" fillId="37" borderId="12" xfId="0" applyFont="1" applyFill="1" applyBorder="1"/>
    <xf numFmtId="0" fontId="27" fillId="37" borderId="0" xfId="0" applyFont="1" applyFill="1" applyBorder="1"/>
    <xf numFmtId="2" fontId="27" fillId="37" borderId="0" xfId="0" applyNumberFormat="1" applyFont="1" applyFill="1" applyBorder="1"/>
    <xf numFmtId="166" fontId="27" fillId="37" borderId="0" xfId="0" applyNumberFormat="1" applyFont="1" applyFill="1" applyBorder="1"/>
    <xf numFmtId="165" fontId="27" fillId="37" borderId="0" xfId="0" applyNumberFormat="1" applyFont="1" applyFill="1" applyBorder="1"/>
    <xf numFmtId="0" fontId="27" fillId="37" borderId="1" xfId="0" applyFont="1" applyFill="1" applyBorder="1"/>
    <xf numFmtId="2" fontId="27" fillId="37" borderId="1" xfId="0" applyNumberFormat="1" applyFont="1" applyFill="1" applyBorder="1"/>
    <xf numFmtId="166" fontId="27" fillId="37" borderId="1" xfId="0" applyNumberFormat="1" applyFont="1" applyFill="1" applyBorder="1"/>
    <xf numFmtId="165" fontId="27" fillId="37" borderId="1" xfId="0" applyNumberFormat="1" applyFont="1" applyFill="1" applyBorder="1"/>
    <xf numFmtId="0" fontId="27" fillId="37" borderId="14" xfId="0" applyFont="1" applyFill="1" applyBorder="1"/>
    <xf numFmtId="2" fontId="27" fillId="37" borderId="14" xfId="0" applyNumberFormat="1" applyFont="1" applyFill="1" applyBorder="1"/>
    <xf numFmtId="166" fontId="27" fillId="37" borderId="14" xfId="0" applyNumberFormat="1" applyFont="1" applyFill="1" applyBorder="1"/>
    <xf numFmtId="165" fontId="27" fillId="37" borderId="14" xfId="0" applyNumberFormat="1" applyFont="1" applyFill="1" applyBorder="1"/>
    <xf numFmtId="2" fontId="28" fillId="37" borderId="0" xfId="0" applyNumberFormat="1" applyFont="1" applyFill="1"/>
    <xf numFmtId="0" fontId="22" fillId="37" borderId="0" xfId="0" applyFont="1" applyFill="1"/>
    <xf numFmtId="2" fontId="22" fillId="37" borderId="0" xfId="0" applyNumberFormat="1" applyFont="1" applyFill="1"/>
    <xf numFmtId="0" fontId="22" fillId="0" borderId="0" xfId="0" applyFont="1" applyFill="1"/>
  </cellXfs>
  <cellStyles count="45">
    <cellStyle name="20% - Accent1 2" xfId="1" xr:uid="{00000000-0005-0000-0000-000000000000}"/>
    <cellStyle name="20% - Accent2 2" xfId="2" xr:uid="{00000000-0005-0000-0000-000001000000}"/>
    <cellStyle name="20% - Accent3 2" xfId="3" xr:uid="{00000000-0005-0000-0000-000002000000}"/>
    <cellStyle name="20% - Accent4 2" xfId="4" xr:uid="{00000000-0005-0000-0000-000003000000}"/>
    <cellStyle name="20% - Accent5 2" xfId="5" xr:uid="{00000000-0005-0000-0000-000004000000}"/>
    <cellStyle name="20% - Accent6 2" xfId="6" xr:uid="{00000000-0005-0000-0000-000005000000}"/>
    <cellStyle name="40% - Accent1 2" xfId="7" xr:uid="{00000000-0005-0000-0000-000006000000}"/>
    <cellStyle name="40% - Accent2 2" xfId="8" xr:uid="{00000000-0005-0000-0000-000007000000}"/>
    <cellStyle name="40% - Accent3 2" xfId="9" xr:uid="{00000000-0005-0000-0000-000008000000}"/>
    <cellStyle name="40% - Accent4 2" xfId="10" xr:uid="{00000000-0005-0000-0000-000009000000}"/>
    <cellStyle name="40% - Accent5 2" xfId="11" xr:uid="{00000000-0005-0000-0000-00000A000000}"/>
    <cellStyle name="40% - Accent6 2" xfId="12" xr:uid="{00000000-0005-0000-0000-00000B000000}"/>
    <cellStyle name="60% - Accent1 2" xfId="13" xr:uid="{00000000-0005-0000-0000-00000C000000}"/>
    <cellStyle name="60% - Accent2 2" xfId="14" xr:uid="{00000000-0005-0000-0000-00000D000000}"/>
    <cellStyle name="60% - Accent3 2" xfId="15" xr:uid="{00000000-0005-0000-0000-00000E000000}"/>
    <cellStyle name="60% - Accent4 2" xfId="16" xr:uid="{00000000-0005-0000-0000-00000F000000}"/>
    <cellStyle name="60% - Accent5 2" xfId="17" xr:uid="{00000000-0005-0000-0000-000010000000}"/>
    <cellStyle name="60% - Accent6 2" xfId="18" xr:uid="{00000000-0005-0000-0000-000011000000}"/>
    <cellStyle name="Accent1 2" xfId="19" xr:uid="{00000000-0005-0000-0000-000012000000}"/>
    <cellStyle name="Accent2 2" xfId="20" xr:uid="{00000000-0005-0000-0000-000013000000}"/>
    <cellStyle name="Accent3 2" xfId="21" xr:uid="{00000000-0005-0000-0000-000014000000}"/>
    <cellStyle name="Accent4 2" xfId="22" xr:uid="{00000000-0005-0000-0000-000015000000}"/>
    <cellStyle name="Accent5 2" xfId="23" xr:uid="{00000000-0005-0000-0000-000016000000}"/>
    <cellStyle name="Accent6 2" xfId="24" xr:uid="{00000000-0005-0000-0000-000017000000}"/>
    <cellStyle name="Bad 2" xfId="25" xr:uid="{00000000-0005-0000-0000-000018000000}"/>
    <cellStyle name="Calculation 2" xfId="26" xr:uid="{00000000-0005-0000-0000-000019000000}"/>
    <cellStyle name="Check Cell 2" xfId="27" xr:uid="{00000000-0005-0000-0000-00001A000000}"/>
    <cellStyle name="Explanatory Text 2" xfId="28" xr:uid="{00000000-0005-0000-0000-00001B000000}"/>
    <cellStyle name="Good 2" xfId="29" xr:uid="{00000000-0005-0000-0000-00001C000000}"/>
    <cellStyle name="Heading 1 2" xfId="30" xr:uid="{00000000-0005-0000-0000-00001D000000}"/>
    <cellStyle name="Heading 2 2" xfId="31" xr:uid="{00000000-0005-0000-0000-00001E000000}"/>
    <cellStyle name="Heading 3 2" xfId="32" xr:uid="{00000000-0005-0000-0000-00001F000000}"/>
    <cellStyle name="Heading 4 2" xfId="33" xr:uid="{00000000-0005-0000-0000-000020000000}"/>
    <cellStyle name="Input 2" xfId="34" xr:uid="{00000000-0005-0000-0000-000021000000}"/>
    <cellStyle name="Linked Cell 2" xfId="35" xr:uid="{00000000-0005-0000-0000-000022000000}"/>
    <cellStyle name="Neutral 2" xfId="36" xr:uid="{00000000-0005-0000-0000-000023000000}"/>
    <cellStyle name="Normal" xfId="0" builtinId="0"/>
    <cellStyle name="Normal 2" xfId="37" xr:uid="{00000000-0005-0000-0000-000025000000}"/>
    <cellStyle name="Normal 2 2" xfId="44" xr:uid="{00000000-0005-0000-0000-000026000000}"/>
    <cellStyle name="Normal 3" xfId="43" xr:uid="{00000000-0005-0000-0000-000027000000}"/>
    <cellStyle name="Note 2" xfId="38" xr:uid="{00000000-0005-0000-0000-000028000000}"/>
    <cellStyle name="Output 2" xfId="39" xr:uid="{00000000-0005-0000-0000-000029000000}"/>
    <cellStyle name="Title" xfId="40" builtinId="15" customBuiltin="1"/>
    <cellStyle name="Total 2" xfId="41" xr:uid="{00000000-0005-0000-0000-00002B000000}"/>
    <cellStyle name="Warning Text 2" xfId="42" xr:uid="{00000000-0005-0000-0000-00002C000000}"/>
  </cellStyles>
  <dxfs count="948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schemas.microsoft.com/search/local/ws/rest/v1'">
  <Schema ID="Schema1" Namespace="http://schemas.microsoft.com/search/local/ws/rest/v1">
    <xsd:schema xmlns:xsd="http://www.w3.org/2001/XMLSchema" xmlns:ns0="http://schemas.microsoft.com/search/local/ws/rest/v1" xmlns="" targetNamespace="http://schemas.microsoft.com/search/local/ws/rest/v1">
      <xsd:element nillable="true" name="Response">
        <xsd:complexType>
          <xsd:sequence minOccurs="0">
            <xsd:element minOccurs="0" nillable="true" type="xsd:string" name="Copyright" form="qualified"/>
            <xsd:element minOccurs="0" nillable="true" type="xsd:anyURI" name="BrandLogoUri" form="qualified"/>
            <xsd:element minOccurs="0" nillable="true" type="xsd:integer" name="StatusCode" form="qualified"/>
            <xsd:element minOccurs="0" nillable="true" type="xsd:string" name="StatusDescription" form="qualified"/>
            <xsd:element minOccurs="0" nillable="true" type="xsd:string" name="AuthenticationResultCode" form="qualified"/>
            <xsd:element minOccurs="0" nillable="true" type="xsd:string" name="TraceId" form="qualified"/>
            <xsd:element minOccurs="0" nillable="true" name="ResourceSets" form="qualified">
              <xsd:complexType>
                <xsd:sequence minOccurs="0">
                  <xsd:element minOccurs="0" nillable="true" name="ResourceSet" form="qualified">
                    <xsd:complexType>
                      <xsd:sequence minOccurs="0">
                        <xsd:element minOccurs="0" nillable="true" type="xsd:integer" name="EstimatedTotal" form="qualified"/>
                        <xsd:element minOccurs="0" nillable="true" name="Resources" form="qualified">
                          <xsd:complexType>
                            <xsd:sequence minOccurs="0">
                              <xsd:element minOccurs="0" nillable="true" name="Route" form="qualified">
                                <xsd:complexType>
                                  <xsd:sequence minOccurs="0">
                                    <xsd:element minOccurs="0" nillable="true" type="xsd:string" name="Id" form="qualified"/>
                                    <xsd:element minOccurs="0" nillable="true" name="BoundingBox" form="qualified">
                                      <xsd:complexType>
                                        <xsd:sequence minOccurs="0">
                                          <xsd:element minOccurs="0" nillable="true" type="xsd:double" name="SouthLatitude" form="qualified"/>
                                          <xsd:element minOccurs="0" nillable="true" type="xsd:double" name="WestLongitude" form="qualified"/>
                                          <xsd:element minOccurs="0" nillable="true" type="xsd:double" name="NorthLatitude" form="qualified"/>
                                          <xsd:element minOccurs="0" nillable="true" type="xsd:double" name="EastLongitude" form="qualified"/>
                                        </xsd:sequence>
                                      </xsd:complexType>
                                    </xsd:element>
                                    <xsd:element minOccurs="0" nillable="true" type="xsd:string" name="DistanceUnit" form="qualified"/>
                                    <xsd:element minOccurs="0" nillable="true" type="xsd:string" name="DurationUnit" form="qualified"/>
                                    <xsd:element minOccurs="0" nillable="true" type="xsd:double" name="TravelDistance" form="qualified"/>
                                    <xsd:element minOccurs="0" nillable="true" type="xsd:integer" name="TravelDuration" form="qualified"/>
                                    <xsd:element minOccurs="0" nillable="true" type="xsd:integer" name="TravelDurationTraffic" form="qualified"/>
                                    <xsd:element minOccurs="0" nillable="true" name="RouteLeg" form="qualified">
                                      <xsd:complexType>
                                        <xsd:sequence minOccurs="0">
                                          <xsd:element minOccurs="0" nillable="true" type="xsd:double" name="TravelDistance" form="qualified"/>
                                          <xsd:element minOccurs="0" nillable="true" type="xsd:integer" name="TravelDuration" form="qualified"/>
                                          <xsd:element minOccurs="0" nillable="true" type="xsd:integer" name="Cost" form="qualified"/>
                                          <xsd:element minOccurs="0" nillable="true" name="ActualStart" form="qualified">
                                            <xsd:complexType>
                                              <xsd:sequence minOccurs="0">
                                                <xsd:element minOccurs="0" nillable="true" type="xsd:double" name="Latitude" form="qualified"/>
                                                <xsd:element minOccurs="0" nillable="true" type="xsd:double" name="Longitude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ActualEnd" form="qualified">
                                            <xsd:complexType>
                                              <xsd:sequence minOccurs="0">
                                                <xsd:element minOccurs="0" nillable="true" type="xsd:double" name="Latitude" form="qualified"/>
                                                <xsd:element minOccurs="0" nillable="true" type="xsd:double" name="Longitude" form="qualified"/>
                                              </xsd:sequence>
                                            </xsd:complexType>
                                          </xsd:element>
                                          <xsd:element minOccurs="0" maxOccurs="unbounded" nillable="true" name="ItineraryItem" form="qualified">
                                            <xsd:complexType>
                                              <xsd:sequence minOccurs="0" maxOccurs="unbounded">
                                                <xsd:element minOccurs="0" nillable="true" type="xsd:string" name="TravelMode" form="qualified"/>
                                                <xsd:element minOccurs="0" nillable="true" type="xsd:double" name="TravelDistance" form="qualified"/>
                                                <xsd:element minOccurs="0" nillable="true" type="xsd:integer" name="TravelDuration" form="qualified"/>
                                                <xsd:element minOccurs="0" nillable="true" name="ManeuverPoint" form="qualified">
                                                  <xsd:complexType>
                                                    <xsd:sequence minOccurs="0">
                                                      <xsd:element minOccurs="0" nillable="true" type="xsd:double" name="Latitude" form="qualified"/>
                                                      <xsd:element minOccurs="0" nillable="true" type="xsd:double" name="Longitude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Instruction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maneuverType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type="xsd:string" name="CompassDirection" form="qualified"/>
                                                <xsd:element minOccurs="0" nillable="true" name="Warning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warningType" form="unqualified" type="xsd:string"/>
                                                        <xsd:attribute name="severity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maxOccurs="unbounded" nillable="true" name="Detail" form="qualified">
                                                  <xsd:complexType>
                                                    <xsd:sequence minOccurs="0" maxOccurs="unbounded">
                                                      <xsd:element minOccurs="0" nillable="true" type="xsd:string" name="ManeuverType" form="qualified"/>
                                                      <xsd:element minOccurs="0" nillable="true" type="xsd:integer" name="StartPathIndex" form="qualified"/>
                                                      <xsd:element minOccurs="0" nillable="true" type="xsd:integer" name="EndPathIndex" form="qualified"/>
                                                      <xsd:element minOccurs="0" nillable="true" type="xsd:string" name="Name" form="qualified"/>
                                                      <xsd:element minOccurs="0" nillable="true" type="xsd:integer" name="CompassDegrees" form="qualified"/>
                                                      <xsd:element minOccurs="0" nillable="true" type="xsd:string" name="Mode" form="qualified"/>
                                                      <xsd:element minOccurs="0" nillable="true" type="xsd:integer" name="PreviousEntityId" form="qualified"/>
                                                      <xsd:element minOccurs="0" nillable="true" type="xsd:integer" name="NextEntityId" form="qualified"/>
                                                      <xsd:element minOccurs="0" nillable="true" type="xsd:string" name="RoadType" form="qualified"/>
                                                      <xsd:element minOccurs="0" nillable="true" name="RoadShieldRequestParameters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Bucket" form="qualified"/>
                                                            <xsd:element minOccurs="0" nillable="true" name="Shield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RoadShieldType" form="qualified"/>
                                                                  <xsd:element minOccurs="0" nillable="true" type="xsd:string" name="Label" form="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unbounded" nillable="true" type="xsd:string" name="LocationCode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string" name="Exit" form="qualified"/>
                                                <xsd:element minOccurs="0" nillable="true" type="xsd:string" name="TollZone" form="qualified"/>
                                                <xsd:element minOccurs="0" nillable="true" type="xsd:string" name="TransitTerminus" form="qualified"/>
                                                <xsd:element minOccurs="0" nillable="true" type="xsd:integer" name="TripId" form="qualified"/>
                                                <xsd:element minOccurs="0" nillable="true" type="xsd:string" name="IconType" form="qualified"/>
                                                <xsd:element minOccurs="0" nillable="true" type="xsd:dateTime" name="Time" form="qualified"/>
                                                <xsd:element minOccurs="0" nillable="true" type="xsd:integer" name="TransitStopId" form="qualified"/>
                                                <xsd:element minOccurs="0" nillable="true" type="xsd:string" name="TowardsRoadName" form="qualified"/>
                                                <xsd:element minOccurs="0" nillable="true" type="xsd:string" name="SideOfStreet" form="qualified"/>
                                                <xsd:element minOccurs="0" maxOccurs="unbounded" nillable="true" type="xsd:string" name="Sign" form="qualified"/>
                                                <xsd:element minOccurs="0" maxOccurs="unbounded" nillable="true" type="xsd:string" name="Hint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type="xsd:dateTime" name="StartTime" form="qualified"/>
                                          <xsd:element minOccurs="0" nillable="true" type="xsd:dateTime" name="EndTime" form="qualified"/>
                                          <xsd:element minOccurs="0" nillable="true" type="xsd:string" name="Description" form="qualified"/>
                                          <xsd:element minOccurs="0" nillable="true" type="xsd:string" name="RouteRegion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ponse_Map" RootElement="Response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8.0000000000000002E-3"/>
          <c:y val="1.020408163265306E-2"/>
          <c:w val="0.77200000000000002"/>
          <c:h val="0.9846938775510204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6"/>
          </c:marker>
          <c:dPt>
            <c:idx val="0"/>
            <c:marker>
              <c:symbol val="square"/>
              <c:size val="9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588-40AC-87B3-5EEE3AB2835E}"/>
              </c:ext>
            </c:extLst>
          </c:dPt>
          <c:dPt>
            <c:idx val="1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588-40AC-87B3-5EEE3AB2835E}"/>
              </c:ext>
            </c:extLst>
          </c:dPt>
          <c:dPt>
            <c:idx val="2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D588-40AC-87B3-5EEE3AB2835E}"/>
              </c:ext>
            </c:extLst>
          </c:dPt>
          <c:dPt>
            <c:idx val="3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D588-40AC-87B3-5EEE3AB2835E}"/>
              </c:ext>
            </c:extLst>
          </c:dPt>
          <c:dPt>
            <c:idx val="4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D588-40AC-87B3-5EEE3AB2835E}"/>
              </c:ext>
            </c:extLst>
          </c:dPt>
          <c:dPt>
            <c:idx val="5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D588-40AC-87B3-5EEE3AB2835E}"/>
              </c:ext>
            </c:extLst>
          </c:dPt>
          <c:dPt>
            <c:idx val="6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D588-40AC-87B3-5EEE3AB2835E}"/>
              </c:ext>
            </c:extLst>
          </c:dPt>
          <c:dPt>
            <c:idx val="7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588-40AC-87B3-5EEE3AB2835E}"/>
              </c:ext>
            </c:extLst>
          </c:dPt>
          <c:dPt>
            <c:idx val="8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D588-40AC-87B3-5EEE3AB2835E}"/>
              </c:ext>
            </c:extLst>
          </c:dPt>
          <c:dPt>
            <c:idx val="9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D588-40AC-87B3-5EEE3AB2835E}"/>
              </c:ext>
            </c:extLst>
          </c:dPt>
          <c:dPt>
            <c:idx val="10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D588-40AC-87B3-5EEE3AB2835E}"/>
              </c:ext>
            </c:extLst>
          </c:dPt>
          <c:dPt>
            <c:idx val="11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D588-40AC-87B3-5EEE3AB2835E}"/>
              </c:ext>
            </c:extLst>
          </c:dPt>
          <c:dPt>
            <c:idx val="12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D588-40AC-87B3-5EEE3AB2835E}"/>
              </c:ext>
            </c:extLst>
          </c:dPt>
          <c:dPt>
            <c:idx val="13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D588-40AC-87B3-5EEE3AB2835E}"/>
              </c:ext>
            </c:extLst>
          </c:dPt>
          <c:dPt>
            <c:idx val="14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D588-40AC-87B3-5EEE3AB2835E}"/>
              </c:ext>
            </c:extLst>
          </c:dPt>
          <c:dPt>
            <c:idx val="15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D588-40AC-87B3-5EEE3AB2835E}"/>
              </c:ext>
            </c:extLst>
          </c:dPt>
          <c:dPt>
            <c:idx val="16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D588-40AC-87B3-5EEE3AB2835E}"/>
              </c:ext>
            </c:extLst>
          </c:dPt>
          <c:dPt>
            <c:idx val="17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D588-40AC-87B3-5EEE3AB2835E}"/>
              </c:ext>
            </c:extLst>
          </c:dPt>
          <c:dPt>
            <c:idx val="18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D588-40AC-87B3-5EEE3AB2835E}"/>
              </c:ext>
            </c:extLst>
          </c:dPt>
          <c:dPt>
            <c:idx val="19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D588-40AC-87B3-5EEE3AB2835E}"/>
              </c:ext>
            </c:extLst>
          </c:dPt>
          <c:dPt>
            <c:idx val="20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D588-40AC-87B3-5EEE3AB2835E}"/>
              </c:ext>
            </c:extLst>
          </c:dPt>
          <c:dPt>
            <c:idx val="21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D588-40AC-87B3-5EEE3AB2835E}"/>
              </c:ext>
            </c:extLst>
          </c:dPt>
          <c:dPt>
            <c:idx val="22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D588-40AC-87B3-5EEE3AB2835E}"/>
              </c:ext>
            </c:extLst>
          </c:dPt>
          <c:dPt>
            <c:idx val="23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D588-40AC-87B3-5EEE3AB2835E}"/>
              </c:ext>
            </c:extLst>
          </c:dPt>
          <c:dPt>
            <c:idx val="24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D588-40AC-87B3-5EEE3AB2835E}"/>
              </c:ext>
            </c:extLst>
          </c:dPt>
          <c:dPt>
            <c:idx val="25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D588-40AC-87B3-5EEE3AB2835E}"/>
              </c:ext>
            </c:extLst>
          </c:dPt>
          <c:dPt>
            <c:idx val="26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D588-40AC-87B3-5EEE3AB2835E}"/>
              </c:ext>
            </c:extLst>
          </c:dPt>
          <c:dPt>
            <c:idx val="27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D588-40AC-87B3-5EEE3AB2835E}"/>
              </c:ext>
            </c:extLst>
          </c:dPt>
          <c:dPt>
            <c:idx val="28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D588-40AC-87B3-5EEE3AB2835E}"/>
              </c:ext>
            </c:extLst>
          </c:dPt>
          <c:dPt>
            <c:idx val="29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D588-40AC-87B3-5EEE3AB2835E}"/>
              </c:ext>
            </c:extLst>
          </c:dPt>
          <c:dPt>
            <c:idx val="30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D588-40AC-87B3-5EEE3AB2835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588-40AC-87B3-5EEE3AB283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588-40AC-87B3-5EEE3AB283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588-40AC-87B3-5EEE3AB283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588-40AC-87B3-5EEE3AB283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588-40AC-87B3-5EEE3AB283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D588-40AC-87B3-5EEE3AB283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588-40AC-87B3-5EEE3AB283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D588-40AC-87B3-5EEE3AB283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588-40AC-87B3-5EEE3AB283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D588-40AC-87B3-5EEE3AB2835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D588-40AC-87B3-5EEE3AB2835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D588-40AC-87B3-5EEE3AB2835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D588-40AC-87B3-5EEE3AB2835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D588-40AC-87B3-5EEE3AB2835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588-40AC-87B3-5EEE3AB2835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588-40AC-87B3-5EEE3AB2835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D588-40AC-87B3-5EEE3AB2835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588-40AC-87B3-5EEE3AB2835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D588-40AC-87B3-5EEE3AB2835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88-40AC-87B3-5EEE3AB2835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88-40AC-87B3-5EEE3AB2835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88-40AC-87B3-5EEE3AB2835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88-40AC-87B3-5EEE3AB2835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D588-40AC-87B3-5EEE3AB2835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D588-40AC-87B3-5EEE3AB2835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D588-40AC-87B3-5EEE3AB2835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26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D588-40AC-87B3-5EEE3AB2835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27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D588-40AC-87B3-5EEE3AB2835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28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D588-40AC-87B3-5EEE3AB2835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29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D588-40AC-87B3-5EEE3AB2835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D588-40AC-87B3-5EEE3AB2835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'1.Locations'!$E$2:$E$32</c:f>
              <c:numCache>
                <c:formatCode>0.0000000</c:formatCode>
                <c:ptCount val="31"/>
                <c:pt idx="0">
                  <c:v>35.770000000000003</c:v>
                </c:pt>
                <c:pt idx="1">
                  <c:v>35.826631999999996</c:v>
                </c:pt>
                <c:pt idx="2">
                  <c:v>35.791175000000003</c:v>
                </c:pt>
                <c:pt idx="3">
                  <c:v>35.783333300000002</c:v>
                </c:pt>
                <c:pt idx="4">
                  <c:v>35.830722999999999</c:v>
                </c:pt>
                <c:pt idx="5">
                  <c:v>35.823906000000001</c:v>
                </c:pt>
                <c:pt idx="6">
                  <c:v>35.795267000000003</c:v>
                </c:pt>
                <c:pt idx="7">
                  <c:v>35.856622999999999</c:v>
                </c:pt>
                <c:pt idx="8">
                  <c:v>35.814360000000001</c:v>
                </c:pt>
                <c:pt idx="9">
                  <c:v>35.852533999999999</c:v>
                </c:pt>
                <c:pt idx="10">
                  <c:v>35.807541999999998</c:v>
                </c:pt>
                <c:pt idx="11">
                  <c:v>35.868611000000001</c:v>
                </c:pt>
                <c:pt idx="12">
                  <c:v>35.869444000000001</c:v>
                </c:pt>
                <c:pt idx="13">
                  <c:v>35.954692999999999</c:v>
                </c:pt>
                <c:pt idx="14">
                  <c:v>35.900002999999998</c:v>
                </c:pt>
                <c:pt idx="15">
                  <c:v>35.976666999999999</c:v>
                </c:pt>
                <c:pt idx="16">
                  <c:v>35.893332999999998</c:v>
                </c:pt>
                <c:pt idx="17">
                  <c:v>35.881833</c:v>
                </c:pt>
                <c:pt idx="18">
                  <c:v>36.014167</c:v>
                </c:pt>
                <c:pt idx="19">
                  <c:v>36.006943999999997</c:v>
                </c:pt>
                <c:pt idx="20">
                  <c:v>35.912500000000001</c:v>
                </c:pt>
                <c:pt idx="21">
                  <c:v>35.912778000000003</c:v>
                </c:pt>
                <c:pt idx="22">
                  <c:v>35.980277999999998</c:v>
                </c:pt>
                <c:pt idx="23">
                  <c:v>35.977221</c:v>
                </c:pt>
                <c:pt idx="24">
                  <c:v>35.789811</c:v>
                </c:pt>
                <c:pt idx="25">
                  <c:v>35.892732000000002</c:v>
                </c:pt>
                <c:pt idx="26">
                  <c:v>35.845717999999998</c:v>
                </c:pt>
                <c:pt idx="27">
                  <c:v>35.898181999999998</c:v>
                </c:pt>
                <c:pt idx="28">
                  <c:v>35.910440000000001</c:v>
                </c:pt>
                <c:pt idx="29">
                  <c:v>35.899811999999997</c:v>
                </c:pt>
                <c:pt idx="30">
                  <c:v>35.857708000000002</c:v>
                </c:pt>
              </c:numCache>
            </c:numRef>
          </c:xVal>
          <c:yVal>
            <c:numRef>
              <c:f>'1.Locations'!$D$2:$D$32</c:f>
              <c:numCache>
                <c:formatCode>0.0000000</c:formatCode>
                <c:ptCount val="31"/>
                <c:pt idx="0">
                  <c:v>35.53</c:v>
                </c:pt>
                <c:pt idx="1">
                  <c:v>35.571807</c:v>
                </c:pt>
                <c:pt idx="2">
                  <c:v>35.605404999999998</c:v>
                </c:pt>
                <c:pt idx="3">
                  <c:v>35.5833333</c:v>
                </c:pt>
                <c:pt idx="4">
                  <c:v>35.583542999999999</c:v>
                </c:pt>
                <c:pt idx="5">
                  <c:v>35.620486999999997</c:v>
                </c:pt>
                <c:pt idx="6">
                  <c:v>35.540709999999997</c:v>
                </c:pt>
                <c:pt idx="7">
                  <c:v>35.602139999999999</c:v>
                </c:pt>
                <c:pt idx="8">
                  <c:v>35.584356999999997</c:v>
                </c:pt>
                <c:pt idx="9">
                  <c:v>35.585636999999998</c:v>
                </c:pt>
                <c:pt idx="10">
                  <c:v>35.638010999999999</c:v>
                </c:pt>
                <c:pt idx="11">
                  <c:v>35.556666999999997</c:v>
                </c:pt>
                <c:pt idx="12">
                  <c:v>35.575277999999997</c:v>
                </c:pt>
                <c:pt idx="13">
                  <c:v>35.635308999999999</c:v>
                </c:pt>
                <c:pt idx="14">
                  <c:v>35.583333000000003</c:v>
                </c:pt>
                <c:pt idx="15">
                  <c:v>35.609721999999998</c:v>
                </c:pt>
                <c:pt idx="16">
                  <c:v>35.595556000000002</c:v>
                </c:pt>
                <c:pt idx="17">
                  <c:v>35.590528999999997</c:v>
                </c:pt>
                <c:pt idx="18">
                  <c:v>35.626389000000003</c:v>
                </c:pt>
                <c:pt idx="19">
                  <c:v>35.628610999999999</c:v>
                </c:pt>
                <c:pt idx="20">
                  <c:v>35.591667000000001</c:v>
                </c:pt>
                <c:pt idx="21">
                  <c:v>35.565832999999998</c:v>
                </c:pt>
                <c:pt idx="22">
                  <c:v>35.621943999999999</c:v>
                </c:pt>
                <c:pt idx="23">
                  <c:v>35.633929999999999</c:v>
                </c:pt>
                <c:pt idx="24">
                  <c:v>35.671509999999998</c:v>
                </c:pt>
                <c:pt idx="25">
                  <c:v>35.658357000000002</c:v>
                </c:pt>
                <c:pt idx="26">
                  <c:v>35.660746000000003</c:v>
                </c:pt>
                <c:pt idx="27">
                  <c:v>35.618332000000002</c:v>
                </c:pt>
                <c:pt idx="28">
                  <c:v>35.672548999999997</c:v>
                </c:pt>
                <c:pt idx="29">
                  <c:v>35.667158000000001</c:v>
                </c:pt>
                <c:pt idx="30">
                  <c:v>35.629916999999999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88-40AC-87B3-5EEE3AB2835E}"/>
            </c:ext>
          </c:extLst>
        </c:ser>
        <c:ser>
          <c:idx val="1"/>
          <c:order val="1"/>
          <c:tx>
            <c:strRef>
              <c:f>'4.Solution'!$B$3</c:f>
              <c:strCache>
                <c:ptCount val="1"/>
                <c:pt idx="0">
                  <c:v>V1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'4.Solution'!$E$5:$E$36</c:f>
              <c:numCache>
                <c:formatCode>General</c:formatCode>
                <c:ptCount val="32"/>
                <c:pt idx="0">
                  <c:v>35.770000000000003</c:v>
                </c:pt>
                <c:pt idx="1">
                  <c:v>35.912778000000003</c:v>
                </c:pt>
                <c:pt idx="2">
                  <c:v>35.976666999999999</c:v>
                </c:pt>
                <c:pt idx="3">
                  <c:v>36.014167</c:v>
                </c:pt>
                <c:pt idx="4">
                  <c:v>36.006943999999997</c:v>
                </c:pt>
                <c:pt idx="5">
                  <c:v>35.980277999999998</c:v>
                </c:pt>
                <c:pt idx="6">
                  <c:v>35.912500000000001</c:v>
                </c:pt>
                <c:pt idx="7">
                  <c:v>35.900002999999998</c:v>
                </c:pt>
                <c:pt idx="8">
                  <c:v>35.881833</c:v>
                </c:pt>
                <c:pt idx="9">
                  <c:v>35.770000000000003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'4.Solution'!$D$5:$D$36</c:f>
              <c:numCache>
                <c:formatCode>General</c:formatCode>
                <c:ptCount val="32"/>
                <c:pt idx="0">
                  <c:v>35.53</c:v>
                </c:pt>
                <c:pt idx="1">
                  <c:v>35.565832999999998</c:v>
                </c:pt>
                <c:pt idx="2">
                  <c:v>35.609721999999998</c:v>
                </c:pt>
                <c:pt idx="3">
                  <c:v>35.626389000000003</c:v>
                </c:pt>
                <c:pt idx="4">
                  <c:v>35.628610999999999</c:v>
                </c:pt>
                <c:pt idx="5">
                  <c:v>35.621943999999999</c:v>
                </c:pt>
                <c:pt idx="6">
                  <c:v>35.591667000000001</c:v>
                </c:pt>
                <c:pt idx="7">
                  <c:v>35.583333000000003</c:v>
                </c:pt>
                <c:pt idx="8">
                  <c:v>35.590528999999997</c:v>
                </c:pt>
                <c:pt idx="9">
                  <c:v>35.53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D588-40AC-87B3-5EEE3AB2835E}"/>
            </c:ext>
          </c:extLst>
        </c:ser>
        <c:ser>
          <c:idx val="2"/>
          <c:order val="2"/>
          <c:tx>
            <c:strRef>
              <c:f>'4.Solution'!$Q$3</c:f>
              <c:strCache>
                <c:ptCount val="1"/>
                <c:pt idx="0">
                  <c:v>V2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'4.Solution'!$T$5:$T$36</c:f>
              <c:numCache>
                <c:formatCode>General</c:formatCode>
                <c:ptCount val="32"/>
                <c:pt idx="0">
                  <c:v>35.770000000000003</c:v>
                </c:pt>
                <c:pt idx="1">
                  <c:v>35.852533999999999</c:v>
                </c:pt>
                <c:pt idx="2">
                  <c:v>35.869444000000001</c:v>
                </c:pt>
                <c:pt idx="3">
                  <c:v>35.868611000000001</c:v>
                </c:pt>
                <c:pt idx="4">
                  <c:v>35.770000000000003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'4.Solution'!$S$5:$S$36</c:f>
              <c:numCache>
                <c:formatCode>General</c:formatCode>
                <c:ptCount val="32"/>
                <c:pt idx="0">
                  <c:v>35.53</c:v>
                </c:pt>
                <c:pt idx="1">
                  <c:v>35.585636999999998</c:v>
                </c:pt>
                <c:pt idx="2">
                  <c:v>35.575277999999997</c:v>
                </c:pt>
                <c:pt idx="3">
                  <c:v>35.556666999999997</c:v>
                </c:pt>
                <c:pt idx="4">
                  <c:v>35.53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D588-40AC-87B3-5EEE3AB2835E}"/>
            </c:ext>
          </c:extLst>
        </c:ser>
        <c:ser>
          <c:idx val="3"/>
          <c:order val="3"/>
          <c:tx>
            <c:strRef>
              <c:f>'4.Solution'!$AF$3</c:f>
              <c:strCache>
                <c:ptCount val="1"/>
                <c:pt idx="0">
                  <c:v>V3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'4.Solution'!$AI$5:$AI$36</c:f>
              <c:numCache>
                <c:formatCode>General</c:formatCode>
                <c:ptCount val="32"/>
                <c:pt idx="0">
                  <c:v>35.770000000000003</c:v>
                </c:pt>
                <c:pt idx="1">
                  <c:v>35.814360000000001</c:v>
                </c:pt>
                <c:pt idx="2">
                  <c:v>35.823906000000001</c:v>
                </c:pt>
                <c:pt idx="3">
                  <c:v>35.845717999999998</c:v>
                </c:pt>
                <c:pt idx="4">
                  <c:v>35.910440000000001</c:v>
                </c:pt>
                <c:pt idx="5">
                  <c:v>35.899811999999997</c:v>
                </c:pt>
                <c:pt idx="6">
                  <c:v>35.892732000000002</c:v>
                </c:pt>
                <c:pt idx="7">
                  <c:v>35.857708000000002</c:v>
                </c:pt>
                <c:pt idx="8">
                  <c:v>35.830722999999999</c:v>
                </c:pt>
                <c:pt idx="9">
                  <c:v>35.770000000000003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'4.Solution'!$AH$5:$AH$36</c:f>
              <c:numCache>
                <c:formatCode>General</c:formatCode>
                <c:ptCount val="32"/>
                <c:pt idx="0">
                  <c:v>35.53</c:v>
                </c:pt>
                <c:pt idx="1">
                  <c:v>35.584356999999997</c:v>
                </c:pt>
                <c:pt idx="2">
                  <c:v>35.620486999999997</c:v>
                </c:pt>
                <c:pt idx="3">
                  <c:v>35.660746000000003</c:v>
                </c:pt>
                <c:pt idx="4">
                  <c:v>35.672548999999997</c:v>
                </c:pt>
                <c:pt idx="5">
                  <c:v>35.667158000000001</c:v>
                </c:pt>
                <c:pt idx="6">
                  <c:v>35.658357000000002</c:v>
                </c:pt>
                <c:pt idx="7">
                  <c:v>35.629916999999999</c:v>
                </c:pt>
                <c:pt idx="8">
                  <c:v>35.583542999999999</c:v>
                </c:pt>
                <c:pt idx="9">
                  <c:v>35.53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D588-40AC-87B3-5EEE3AB2835E}"/>
            </c:ext>
          </c:extLst>
        </c:ser>
        <c:ser>
          <c:idx val="4"/>
          <c:order val="4"/>
          <c:tx>
            <c:strRef>
              <c:f>'4.Solution'!$AU$3</c:f>
              <c:strCache>
                <c:ptCount val="1"/>
                <c:pt idx="0">
                  <c:v>V4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'4.Solution'!$AX$5:$AX$36</c:f>
              <c:numCache>
                <c:formatCode>General</c:formatCode>
                <c:ptCount val="32"/>
                <c:pt idx="0">
                  <c:v>35.770000000000003</c:v>
                </c:pt>
                <c:pt idx="1">
                  <c:v>35.783333300000002</c:v>
                </c:pt>
                <c:pt idx="2">
                  <c:v>35.791175000000003</c:v>
                </c:pt>
                <c:pt idx="3">
                  <c:v>35.807541999999998</c:v>
                </c:pt>
                <c:pt idx="4">
                  <c:v>35.789811</c:v>
                </c:pt>
                <c:pt idx="5">
                  <c:v>35.770000000000003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'4.Solution'!$AW$5:$AW$36</c:f>
              <c:numCache>
                <c:formatCode>General</c:formatCode>
                <c:ptCount val="32"/>
                <c:pt idx="0">
                  <c:v>35.53</c:v>
                </c:pt>
                <c:pt idx="1">
                  <c:v>35.5833333</c:v>
                </c:pt>
                <c:pt idx="2">
                  <c:v>35.605404999999998</c:v>
                </c:pt>
                <c:pt idx="3">
                  <c:v>35.638010999999999</c:v>
                </c:pt>
                <c:pt idx="4">
                  <c:v>35.671509999999998</c:v>
                </c:pt>
                <c:pt idx="5">
                  <c:v>35.53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D588-40AC-87B3-5EEE3AB2835E}"/>
            </c:ext>
          </c:extLst>
        </c:ser>
        <c:ser>
          <c:idx val="5"/>
          <c:order val="5"/>
          <c:tx>
            <c:strRef>
              <c:f>'4.Solution'!$BJ$3</c:f>
              <c:strCache>
                <c:ptCount val="1"/>
                <c:pt idx="0">
                  <c:v>V5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'4.Solution'!$BM$5:$BM$36</c:f>
              <c:numCache>
                <c:formatCode>General</c:formatCode>
                <c:ptCount val="32"/>
                <c:pt idx="0">
                  <c:v>35.770000000000003</c:v>
                </c:pt>
                <c:pt idx="1">
                  <c:v>35.856622999999999</c:v>
                </c:pt>
                <c:pt idx="2">
                  <c:v>35.898181999999998</c:v>
                </c:pt>
                <c:pt idx="3">
                  <c:v>35.954692999999999</c:v>
                </c:pt>
                <c:pt idx="4">
                  <c:v>35.977221</c:v>
                </c:pt>
                <c:pt idx="5">
                  <c:v>35.893332999999998</c:v>
                </c:pt>
                <c:pt idx="6">
                  <c:v>35.770000000000003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'4.Solution'!$BL$5:$BL$36</c:f>
              <c:numCache>
                <c:formatCode>General</c:formatCode>
                <c:ptCount val="32"/>
                <c:pt idx="0">
                  <c:v>35.53</c:v>
                </c:pt>
                <c:pt idx="1">
                  <c:v>35.602139999999999</c:v>
                </c:pt>
                <c:pt idx="2">
                  <c:v>35.618332000000002</c:v>
                </c:pt>
                <c:pt idx="3">
                  <c:v>35.635308999999999</c:v>
                </c:pt>
                <c:pt idx="4">
                  <c:v>35.633929999999999</c:v>
                </c:pt>
                <c:pt idx="5">
                  <c:v>35.595556000000002</c:v>
                </c:pt>
                <c:pt idx="6">
                  <c:v>35.53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D588-40AC-87B3-5EEE3AB2835E}"/>
            </c:ext>
          </c:extLst>
        </c:ser>
        <c:ser>
          <c:idx val="6"/>
          <c:order val="6"/>
          <c:tx>
            <c:strRef>
              <c:f>'4.Solution'!$BY$3</c:f>
              <c:strCache>
                <c:ptCount val="1"/>
                <c:pt idx="0">
                  <c:v>V6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'4.Solution'!$CB$5:$CB$36</c:f>
              <c:numCache>
                <c:formatCode>General</c:formatCode>
                <c:ptCount val="32"/>
                <c:pt idx="0">
                  <c:v>35.770000000000003</c:v>
                </c:pt>
                <c:pt idx="1">
                  <c:v>35.826631999999996</c:v>
                </c:pt>
                <c:pt idx="2">
                  <c:v>35.795267000000003</c:v>
                </c:pt>
                <c:pt idx="3">
                  <c:v>35.770000000000003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'4.Solution'!$CA$5:$CA$36</c:f>
              <c:numCache>
                <c:formatCode>General</c:formatCode>
                <c:ptCount val="32"/>
                <c:pt idx="0">
                  <c:v>35.53</c:v>
                </c:pt>
                <c:pt idx="1">
                  <c:v>35.571807</c:v>
                </c:pt>
                <c:pt idx="2">
                  <c:v>35.540709999999997</c:v>
                </c:pt>
                <c:pt idx="3">
                  <c:v>35.53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D588-40AC-87B3-5EEE3AB2835E}"/>
            </c:ext>
          </c:extLst>
        </c:ser>
        <c:ser>
          <c:idx val="7"/>
          <c:order val="7"/>
          <c:tx>
            <c:strRef>
              <c:f>'4.Solution'!$CN$3</c:f>
              <c:strCache>
                <c:ptCount val="1"/>
                <c:pt idx="0">
                  <c:v>V7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'4.Solution'!$CQ$5:$CQ$36</c:f>
              <c:numCache>
                <c:formatCode>General</c:formatCode>
                <c:ptCount val="32"/>
                <c:pt idx="0">
                  <c:v>35.770000000000003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'4.Solution'!$CP$5:$CP$36</c:f>
              <c:numCache>
                <c:formatCode>General</c:formatCode>
                <c:ptCount val="32"/>
                <c:pt idx="0">
                  <c:v>35.53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D588-40AC-87B3-5EEE3AB2835E}"/>
            </c:ext>
          </c:extLst>
        </c:ser>
        <c:ser>
          <c:idx val="8"/>
          <c:order val="8"/>
          <c:tx>
            <c:strRef>
              <c:f>'4.Solution'!$DC$3</c:f>
              <c:strCache>
                <c:ptCount val="1"/>
                <c:pt idx="0">
                  <c:v>V8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'4.Solution'!$DF$5:$DF$36</c:f>
              <c:numCache>
                <c:formatCode>General</c:formatCode>
                <c:ptCount val="32"/>
                <c:pt idx="0">
                  <c:v>35.770000000000003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'4.Solution'!$DE$5:$DE$36</c:f>
              <c:numCache>
                <c:formatCode>General</c:formatCode>
                <c:ptCount val="32"/>
                <c:pt idx="0">
                  <c:v>35.53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D588-40AC-87B3-5EEE3AB2835E}"/>
            </c:ext>
          </c:extLst>
        </c:ser>
        <c:ser>
          <c:idx val="9"/>
          <c:order val="9"/>
          <c:tx>
            <c:strRef>
              <c:f>'4.Solution'!$DR$3</c:f>
              <c:strCache>
                <c:ptCount val="1"/>
                <c:pt idx="0">
                  <c:v>V9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'4.Solution'!$DU$5:$DU$36</c:f>
              <c:numCache>
                <c:formatCode>General</c:formatCode>
                <c:ptCount val="32"/>
                <c:pt idx="0">
                  <c:v>35.770000000000003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'4.Solution'!$DT$5:$DT$36</c:f>
              <c:numCache>
                <c:formatCode>General</c:formatCode>
                <c:ptCount val="32"/>
                <c:pt idx="0">
                  <c:v>35.53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D588-40AC-87B3-5EEE3AB2835E}"/>
            </c:ext>
          </c:extLst>
        </c:ser>
        <c:ser>
          <c:idx val="10"/>
          <c:order val="10"/>
          <c:tx>
            <c:strRef>
              <c:f>'4.Solution'!$EG$3</c:f>
              <c:strCache>
                <c:ptCount val="1"/>
                <c:pt idx="0">
                  <c:v>V10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'4.Solution'!$EJ$5:$EJ$36</c:f>
              <c:numCache>
                <c:formatCode>General</c:formatCode>
                <c:ptCount val="32"/>
                <c:pt idx="0">
                  <c:v>35.770000000000003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'4.Solution'!$EI$5:$EI$36</c:f>
              <c:numCache>
                <c:formatCode>General</c:formatCode>
                <c:ptCount val="32"/>
                <c:pt idx="0">
                  <c:v>35.53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D588-40AC-87B3-5EEE3AB28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166464"/>
        <c:axId val="640165480"/>
      </c:scatterChart>
      <c:valAx>
        <c:axId val="640166464"/>
        <c:scaling>
          <c:orientation val="minMax"/>
          <c:max val="36.097640991210938"/>
          <c:min val="35.658187866210938"/>
        </c:scaling>
        <c:delete val="1"/>
        <c:axPos val="b"/>
        <c:numFmt formatCode="0.0000000" sourceLinked="1"/>
        <c:majorTickMark val="out"/>
        <c:minorTickMark val="none"/>
        <c:tickLblPos val="nextTo"/>
        <c:crossAx val="640165480"/>
        <c:crosses val="autoZero"/>
        <c:crossBetween val="midCat"/>
      </c:valAx>
      <c:valAx>
        <c:axId val="640165480"/>
        <c:scaling>
          <c:orientation val="minMax"/>
          <c:max val="35.786069875656572"/>
          <c:min val="35.42878454211111"/>
        </c:scaling>
        <c:delete val="1"/>
        <c:axPos val="l"/>
        <c:numFmt formatCode="0.0000000" sourceLinked="1"/>
        <c:majorTickMark val="out"/>
        <c:minorTickMark val="none"/>
        <c:tickLblPos val="nextTo"/>
        <c:crossAx val="640166464"/>
        <c:crosses val="autoZero"/>
        <c:crossBetween val="midCat"/>
      </c:valAx>
      <c:spPr>
        <a:blipFill dpi="0" rotWithShape="1">
          <a:blip xmlns:r="http://schemas.openxmlformats.org/officeDocument/2006/relationships" r:embed="rId1">
            <a:alphaModFix amt="50000"/>
          </a:blip>
          <a:srcRect/>
          <a:stretch>
            <a:fillRect/>
          </a:stretch>
        </a:blipFill>
        <a:ln w="12700">
          <a:solidFill>
            <a:srgbClr val="FFFFFF"/>
          </a:solidFill>
        </a:ln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9636992125984249"/>
          <c:y val="1.020408163265306E-2"/>
          <c:w val="9.1630078740157481E-2"/>
          <c:h val="0.98469387755102045"/>
        </c:manualLayout>
      </c:layout>
      <c:overlay val="0"/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254000</xdr:colOff>
      <xdr:row>26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12190B-EEB2-48DD-B2D4-6F1E2883BF9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2"/>
  <sheetViews>
    <sheetView zoomScaleNormal="100" workbookViewId="0">
      <selection activeCell="C7" sqref="C7"/>
    </sheetView>
  </sheetViews>
  <sheetFormatPr defaultRowHeight="15" x14ac:dyDescent="0.25"/>
  <cols>
    <col min="1" max="1" width="22.28515625" bestFit="1" customWidth="1"/>
    <col min="2" max="2" width="29.5703125" bestFit="1" customWidth="1"/>
    <col min="3" max="3" width="28.7109375" customWidth="1"/>
    <col min="4" max="4" width="58.7109375" bestFit="1" customWidth="1"/>
  </cols>
  <sheetData>
    <row r="1" spans="1:4" s="8" customFormat="1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4" t="s">
        <v>4</v>
      </c>
      <c r="B2" s="2" t="s">
        <v>5</v>
      </c>
      <c r="C2" s="9" t="s">
        <v>42</v>
      </c>
      <c r="D2" s="2" t="s">
        <v>39</v>
      </c>
    </row>
    <row r="4" spans="1:4" x14ac:dyDescent="0.25">
      <c r="A4" s="6" t="s">
        <v>6</v>
      </c>
      <c r="B4" s="3" t="s">
        <v>27</v>
      </c>
      <c r="C4" s="7">
        <v>1</v>
      </c>
      <c r="D4" s="3" t="s">
        <v>28</v>
      </c>
    </row>
    <row r="5" spans="1:4" x14ac:dyDescent="0.25">
      <c r="A5" s="2"/>
      <c r="B5" s="2" t="s">
        <v>7</v>
      </c>
      <c r="C5" s="5">
        <v>30</v>
      </c>
      <c r="D5" s="2" t="s">
        <v>26</v>
      </c>
    </row>
    <row r="7" spans="1:4" x14ac:dyDescent="0.25">
      <c r="A7" s="6" t="s">
        <v>8</v>
      </c>
      <c r="B7" s="3" t="s">
        <v>9</v>
      </c>
      <c r="C7" s="7" t="s">
        <v>130</v>
      </c>
      <c r="D7" s="3" t="s">
        <v>40</v>
      </c>
    </row>
    <row r="8" spans="1:4" x14ac:dyDescent="0.25">
      <c r="A8" s="2"/>
      <c r="B8" s="2" t="s">
        <v>10</v>
      </c>
      <c r="C8" s="5" t="s">
        <v>11</v>
      </c>
      <c r="D8" s="2" t="s">
        <v>41</v>
      </c>
    </row>
    <row r="9" spans="1:4" x14ac:dyDescent="0.25">
      <c r="A9" s="2"/>
      <c r="B9" s="2" t="s">
        <v>12</v>
      </c>
      <c r="C9" s="5">
        <v>70</v>
      </c>
      <c r="D9" s="2" t="s">
        <v>37</v>
      </c>
    </row>
    <row r="11" spans="1:4" x14ac:dyDescent="0.25">
      <c r="A11" s="6" t="s">
        <v>13</v>
      </c>
      <c r="B11" s="3" t="s">
        <v>14</v>
      </c>
      <c r="C11" s="7">
        <v>1</v>
      </c>
      <c r="D11" s="3" t="s">
        <v>15</v>
      </c>
    </row>
    <row r="13" spans="1:4" x14ac:dyDescent="0.25">
      <c r="A13" s="6" t="s">
        <v>16</v>
      </c>
      <c r="B13" s="3" t="s">
        <v>29</v>
      </c>
      <c r="C13" s="7" t="s">
        <v>17</v>
      </c>
      <c r="D13" s="3" t="s">
        <v>30</v>
      </c>
    </row>
    <row r="14" spans="1:4" x14ac:dyDescent="0.25">
      <c r="A14" s="2"/>
      <c r="B14" s="2" t="s">
        <v>18</v>
      </c>
      <c r="C14" s="5" t="s">
        <v>19</v>
      </c>
      <c r="D14" s="2"/>
    </row>
    <row r="15" spans="1:4" x14ac:dyDescent="0.25">
      <c r="A15" s="2"/>
      <c r="B15" s="2" t="s">
        <v>33</v>
      </c>
      <c r="C15" s="5" t="s">
        <v>31</v>
      </c>
      <c r="D15" s="2" t="s">
        <v>35</v>
      </c>
    </row>
    <row r="17" spans="1:4" x14ac:dyDescent="0.25">
      <c r="A17" s="6" t="s">
        <v>20</v>
      </c>
      <c r="B17" s="3" t="s">
        <v>21</v>
      </c>
      <c r="C17" s="7" t="s">
        <v>36</v>
      </c>
      <c r="D17" s="3"/>
    </row>
    <row r="18" spans="1:4" x14ac:dyDescent="0.25">
      <c r="A18" s="2"/>
      <c r="B18" s="2" t="s">
        <v>22</v>
      </c>
      <c r="C18" s="5" t="s">
        <v>38</v>
      </c>
      <c r="D18" s="2"/>
    </row>
    <row r="20" spans="1:4" x14ac:dyDescent="0.25">
      <c r="A20" s="6" t="s">
        <v>23</v>
      </c>
      <c r="B20" s="3" t="s">
        <v>24</v>
      </c>
      <c r="C20" s="7" t="s">
        <v>17</v>
      </c>
      <c r="D20" s="3"/>
    </row>
    <row r="21" spans="1:4" x14ac:dyDescent="0.25">
      <c r="A21" s="2"/>
      <c r="B21" s="2" t="s">
        <v>34</v>
      </c>
      <c r="C21" s="5" t="s">
        <v>31</v>
      </c>
      <c r="D21" s="2" t="s">
        <v>32</v>
      </c>
    </row>
    <row r="22" spans="1:4" x14ac:dyDescent="0.25">
      <c r="A22" s="2"/>
      <c r="B22" s="2" t="s">
        <v>25</v>
      </c>
      <c r="C22" s="5">
        <v>60</v>
      </c>
      <c r="D22" s="2" t="str">
        <f>CONCATENATE("Recommendation: At least ", 60 * CEILING(C5 * C5 * C5 / 100000, 1)," seconds")</f>
        <v>Recommendation: At least 60 seconds</v>
      </c>
    </row>
  </sheetData>
  <phoneticPr fontId="4" type="noConversion"/>
  <dataValidations count="10">
    <dataValidation type="list" allowBlank="1" showInputMessage="1" showErrorMessage="1" sqref="C8" xr:uid="{00000000-0002-0000-0000-000000000000}">
      <formula1>"Shortest, Fastest, Fastest - Real Time Traffic"</formula1>
    </dataValidation>
    <dataValidation type="list" allowBlank="1" showInputMessage="1" showErrorMessage="1" sqref="C13 C20 C15 C21" xr:uid="{00000000-0002-0000-0000-000001000000}">
      <formula1>"Yes, No"</formula1>
    </dataValidation>
    <dataValidation type="list" allowBlank="1" showInputMessage="1" showErrorMessage="1" sqref="C14" xr:uid="{00000000-0002-0000-0000-000002000000}">
      <formula1>"Hard, Soft"</formula1>
    </dataValidation>
    <dataValidation type="list" allowBlank="1" showInputMessage="1" showErrorMessage="1" sqref="C17" xr:uid="{00000000-0002-0000-0000-000003000000}">
      <formula1>"Blank, Bing Maps"</formula1>
    </dataValidation>
    <dataValidation type="list" allowBlank="1" showInputMessage="1" showErrorMessage="1" sqref="C18" xr:uid="{00000000-0002-0000-0000-000004000000}">
      <formula1>"Blank, Location IDs, Location names, (Time window start;Time window end), Service time, Pickup amount, Delivery amount, (Pickup amount; Delivery amount), Profit"</formula1>
    </dataValidation>
    <dataValidation type="list" allowBlank="1" showInputMessage="1" showErrorMessage="1" sqref="C7" xr:uid="{00000000-0002-0000-0000-000005000000}">
      <formula1>"Manual entry, Euclidian distances, Rounded Euclidian distances, Rectilinear (Manhattan) distances, Bird flight distances (km), Bird flight distances (miles), Bing Maps driving distances (km), Bing Maps driving distances (miles)"</formula1>
    </dataValidation>
    <dataValidation type="whole" allowBlank="1" showInputMessage="1" showErrorMessage="1" error="Please enter an integer from 1 to 20" sqref="C4" xr:uid="{00000000-0002-0000-0000-000006000000}">
      <formula1>1</formula1>
      <formula2>20</formula2>
    </dataValidation>
    <dataValidation type="whole" allowBlank="1" showInputMessage="1" showErrorMessage="1" error="Please enter an integer from 5 to 200" sqref="C5" xr:uid="{00000000-0002-0000-0000-000007000000}">
      <formula1>5</formula1>
      <formula2>200</formula2>
    </dataValidation>
    <dataValidation type="whole" allowBlank="1" showInputMessage="1" showErrorMessage="1" error="Please enter an integer from 1 to 10" sqref="C11" xr:uid="{00000000-0002-0000-0000-000008000000}">
      <formula1>1</formula1>
      <formula2>10</formula2>
    </dataValidation>
    <dataValidation type="decimal" operator="greaterThanOrEqual" allowBlank="1" showInputMessage="1" showErrorMessage="1" error="Please enter a value greater than or equal to 10 seconds." sqref="C22" xr:uid="{00000000-0002-0000-0000-000009000000}">
      <formula1>10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10806-7BC8-4C1D-985E-212816AA1065}">
  <dimension ref="A1:L32"/>
  <sheetViews>
    <sheetView topLeftCell="A17" workbookViewId="0">
      <selection activeCell="G33" sqref="G33"/>
    </sheetView>
  </sheetViews>
  <sheetFormatPr defaultRowHeight="15" x14ac:dyDescent="0.25"/>
  <cols>
    <col min="1" max="1" width="10.7109375" bestFit="1" customWidth="1"/>
    <col min="2" max="2" width="12" bestFit="1" customWidth="1"/>
    <col min="3" max="3" width="8.140625" bestFit="1" customWidth="1"/>
    <col min="4" max="4" width="11.140625" bestFit="1" customWidth="1"/>
    <col min="5" max="5" width="12.7109375" bestFit="1" customWidth="1"/>
    <col min="6" max="6" width="17.7109375" bestFit="1" customWidth="1"/>
    <col min="7" max="7" width="17" bestFit="1" customWidth="1"/>
    <col min="8" max="8" width="15.85546875" bestFit="1" customWidth="1"/>
    <col min="9" max="9" width="12" bestFit="1" customWidth="1"/>
    <col min="10" max="10" width="14.28515625" bestFit="1" customWidth="1"/>
    <col min="11" max="11" width="15.85546875" bestFit="1" customWidth="1"/>
    <col min="12" max="12" width="6" bestFit="1" customWidth="1"/>
  </cols>
  <sheetData>
    <row r="1" spans="1:12" x14ac:dyDescent="0.25">
      <c r="A1" s="12" t="s">
        <v>43</v>
      </c>
      <c r="B1" s="23" t="s">
        <v>44</v>
      </c>
      <c r="C1" s="23" t="s">
        <v>45</v>
      </c>
      <c r="D1" s="23" t="s">
        <v>46</v>
      </c>
      <c r="E1" s="23" t="s">
        <v>47</v>
      </c>
      <c r="F1" s="23" t="s">
        <v>48</v>
      </c>
      <c r="G1" s="23" t="s">
        <v>49</v>
      </c>
      <c r="H1" s="23" t="s">
        <v>50</v>
      </c>
      <c r="I1" s="23" t="s">
        <v>51</v>
      </c>
      <c r="J1" s="23" t="s">
        <v>52</v>
      </c>
      <c r="K1" s="23" t="s">
        <v>53</v>
      </c>
      <c r="L1" s="23" t="s">
        <v>54</v>
      </c>
    </row>
    <row r="2" spans="1:12" ht="15.75" thickBot="1" x14ac:dyDescent="0.3">
      <c r="A2" s="13">
        <v>0</v>
      </c>
      <c r="B2" s="24" t="s">
        <v>55</v>
      </c>
      <c r="C2" s="24"/>
      <c r="D2" s="29">
        <v>35.53</v>
      </c>
      <c r="E2" s="29">
        <v>35.770000000000003</v>
      </c>
      <c r="F2" s="34">
        <v>0</v>
      </c>
      <c r="G2" s="34">
        <v>0.99930555555555556</v>
      </c>
      <c r="H2" s="43" t="s">
        <v>56</v>
      </c>
      <c r="I2" s="44">
        <v>0</v>
      </c>
      <c r="J2" s="43">
        <v>0</v>
      </c>
      <c r="K2" s="43">
        <v>0</v>
      </c>
      <c r="L2" s="43">
        <v>0</v>
      </c>
    </row>
    <row r="3" spans="1:12" ht="15.75" thickTop="1" x14ac:dyDescent="0.25">
      <c r="A3" s="14">
        <v>1</v>
      </c>
      <c r="B3" s="25" t="s">
        <v>57</v>
      </c>
      <c r="C3" s="25"/>
      <c r="D3" s="30">
        <v>35.571807</v>
      </c>
      <c r="E3" s="30">
        <v>35.826631999999996</v>
      </c>
      <c r="F3" s="35">
        <v>0</v>
      </c>
      <c r="G3" s="35">
        <v>0.99930555555555556</v>
      </c>
      <c r="H3" s="25" t="s">
        <v>58</v>
      </c>
      <c r="I3" s="39">
        <v>0</v>
      </c>
      <c r="J3" s="25">
        <v>0</v>
      </c>
      <c r="K3" s="45">
        <v>534.32877196805555</v>
      </c>
      <c r="L3" s="25">
        <v>0</v>
      </c>
    </row>
    <row r="4" spans="1:12" x14ac:dyDescent="0.25">
      <c r="A4" s="17">
        <v>2</v>
      </c>
      <c r="B4" s="26" t="s">
        <v>59</v>
      </c>
      <c r="C4" s="26"/>
      <c r="D4" s="31">
        <v>35.605404999999998</v>
      </c>
      <c r="E4" s="31">
        <v>35.791175000000003</v>
      </c>
      <c r="F4" s="36">
        <v>0</v>
      </c>
      <c r="G4" s="36">
        <v>0.99930555555555556</v>
      </c>
      <c r="H4" s="26" t="s">
        <v>58</v>
      </c>
      <c r="I4" s="40">
        <v>0</v>
      </c>
      <c r="J4" s="26">
        <v>0</v>
      </c>
      <c r="K4" s="46">
        <v>128.72465870139521</v>
      </c>
      <c r="L4" s="26">
        <v>0</v>
      </c>
    </row>
    <row r="5" spans="1:12" x14ac:dyDescent="0.25">
      <c r="A5" s="17">
        <v>3</v>
      </c>
      <c r="B5" s="27" t="s">
        <v>60</v>
      </c>
      <c r="C5" s="27"/>
      <c r="D5" s="32">
        <v>35.5833333</v>
      </c>
      <c r="E5" s="32">
        <v>35.783333300000002</v>
      </c>
      <c r="F5" s="37">
        <v>0</v>
      </c>
      <c r="G5" s="37">
        <v>0.99930555555555556</v>
      </c>
      <c r="H5" s="27" t="s">
        <v>58</v>
      </c>
      <c r="I5" s="41">
        <v>0</v>
      </c>
      <c r="J5" s="27">
        <v>0</v>
      </c>
      <c r="K5" s="47">
        <v>53.432877196805556</v>
      </c>
      <c r="L5" s="27">
        <v>0</v>
      </c>
    </row>
    <row r="6" spans="1:12" x14ac:dyDescent="0.25">
      <c r="A6" s="17">
        <v>4</v>
      </c>
      <c r="B6" s="26" t="s">
        <v>61</v>
      </c>
      <c r="C6" s="26"/>
      <c r="D6" s="31">
        <v>35.583542999999999</v>
      </c>
      <c r="E6" s="31">
        <v>35.830722999999999</v>
      </c>
      <c r="F6" s="36">
        <v>0</v>
      </c>
      <c r="G6" s="36">
        <v>0.99930555555555556</v>
      </c>
      <c r="H6" s="26" t="s">
        <v>58</v>
      </c>
      <c r="I6" s="40">
        <v>0</v>
      </c>
      <c r="J6" s="26">
        <v>0</v>
      </c>
      <c r="K6" s="46">
        <v>74.077397931934968</v>
      </c>
      <c r="L6" s="26">
        <v>0</v>
      </c>
    </row>
    <row r="7" spans="1:12" x14ac:dyDescent="0.25">
      <c r="A7" s="17">
        <v>5</v>
      </c>
      <c r="B7" s="27" t="s">
        <v>62</v>
      </c>
      <c r="C7" s="27"/>
      <c r="D7" s="32">
        <v>35.620486999999997</v>
      </c>
      <c r="E7" s="32">
        <v>35.823906000000001</v>
      </c>
      <c r="F7" s="37">
        <v>0</v>
      </c>
      <c r="G7" s="37">
        <v>0.99930555555555556</v>
      </c>
      <c r="H7" s="27" t="s">
        <v>58</v>
      </c>
      <c r="I7" s="41">
        <v>0</v>
      </c>
      <c r="J7" s="27">
        <v>0</v>
      </c>
      <c r="K7" s="47">
        <v>155.03630277557974</v>
      </c>
      <c r="L7" s="27">
        <v>0</v>
      </c>
    </row>
    <row r="8" spans="1:12" x14ac:dyDescent="0.25">
      <c r="A8" s="17">
        <v>6</v>
      </c>
      <c r="B8" s="26" t="s">
        <v>63</v>
      </c>
      <c r="C8" s="26"/>
      <c r="D8" s="31">
        <v>35.540709999999997</v>
      </c>
      <c r="E8" s="31">
        <v>35.795267000000003</v>
      </c>
      <c r="F8" s="36">
        <v>0</v>
      </c>
      <c r="G8" s="36">
        <v>0.99930555555555556</v>
      </c>
      <c r="H8" s="26" t="s">
        <v>58</v>
      </c>
      <c r="I8" s="40">
        <v>0</v>
      </c>
      <c r="J8" s="26">
        <v>0</v>
      </c>
      <c r="K8" s="46">
        <v>61.528767681170038</v>
      </c>
      <c r="L8" s="26">
        <v>0</v>
      </c>
    </row>
    <row r="9" spans="1:12" x14ac:dyDescent="0.25">
      <c r="A9" s="17">
        <v>7</v>
      </c>
      <c r="B9" s="27" t="s">
        <v>64</v>
      </c>
      <c r="C9" s="27"/>
      <c r="D9" s="32">
        <v>35.602139999999999</v>
      </c>
      <c r="E9" s="32">
        <v>35.856622999999999</v>
      </c>
      <c r="F9" s="37">
        <v>0</v>
      </c>
      <c r="G9" s="37">
        <v>0.99930555555555556</v>
      </c>
      <c r="H9" s="27" t="s">
        <v>58</v>
      </c>
      <c r="I9" s="41">
        <v>0</v>
      </c>
      <c r="J9" s="27">
        <v>0</v>
      </c>
      <c r="K9" s="47">
        <v>351.36164702141838</v>
      </c>
      <c r="L9" s="27">
        <v>0</v>
      </c>
    </row>
    <row r="10" spans="1:12" x14ac:dyDescent="0.25">
      <c r="A10" s="17">
        <v>8</v>
      </c>
      <c r="B10" s="26" t="s">
        <v>65</v>
      </c>
      <c r="C10" s="26"/>
      <c r="D10" s="31">
        <v>35.584356999999997</v>
      </c>
      <c r="E10" s="31">
        <v>35.814360000000001</v>
      </c>
      <c r="F10" s="36">
        <v>0</v>
      </c>
      <c r="G10" s="36">
        <v>0.99930555555555556</v>
      </c>
      <c r="H10" s="26" t="s">
        <v>58</v>
      </c>
      <c r="I10" s="40">
        <v>0</v>
      </c>
      <c r="J10" s="26">
        <v>0</v>
      </c>
      <c r="K10" s="46">
        <v>44.932192188222857</v>
      </c>
      <c r="L10" s="26">
        <v>0</v>
      </c>
    </row>
    <row r="11" spans="1:12" x14ac:dyDescent="0.25">
      <c r="A11" s="17">
        <v>9</v>
      </c>
      <c r="B11" s="27" t="s">
        <v>66</v>
      </c>
      <c r="C11" s="27"/>
      <c r="D11" s="32">
        <v>35.585636999999998</v>
      </c>
      <c r="E11" s="32">
        <v>35.852533999999999</v>
      </c>
      <c r="F11" s="37">
        <v>0</v>
      </c>
      <c r="G11" s="37">
        <v>0.99930555555555556</v>
      </c>
      <c r="H11" s="27" t="s">
        <v>58</v>
      </c>
      <c r="I11" s="41">
        <v>0</v>
      </c>
      <c r="J11" s="27">
        <v>0</v>
      </c>
      <c r="K11" s="47">
        <v>54.242466245242007</v>
      </c>
      <c r="L11" s="27">
        <v>0</v>
      </c>
    </row>
    <row r="12" spans="1:12" x14ac:dyDescent="0.25">
      <c r="A12" s="17">
        <v>10</v>
      </c>
      <c r="B12" s="26" t="s">
        <v>67</v>
      </c>
      <c r="C12" s="26"/>
      <c r="D12" s="31">
        <v>35.638010999999999</v>
      </c>
      <c r="E12" s="31">
        <v>35.807541999999998</v>
      </c>
      <c r="F12" s="36">
        <v>0</v>
      </c>
      <c r="G12" s="36">
        <v>0.99930555555555556</v>
      </c>
      <c r="H12" s="26" t="s">
        <v>58</v>
      </c>
      <c r="I12" s="40">
        <v>0</v>
      </c>
      <c r="J12" s="26">
        <v>0</v>
      </c>
      <c r="K12" s="46">
        <v>65.576712923352275</v>
      </c>
      <c r="L12" s="26">
        <v>0</v>
      </c>
    </row>
    <row r="13" spans="1:12" x14ac:dyDescent="0.25">
      <c r="A13" s="17">
        <v>11</v>
      </c>
      <c r="B13" s="27" t="s">
        <v>68</v>
      </c>
      <c r="C13" s="27"/>
      <c r="D13" s="32">
        <v>35.556666999999997</v>
      </c>
      <c r="E13" s="32">
        <v>35.868611000000001</v>
      </c>
      <c r="F13" s="37">
        <v>0</v>
      </c>
      <c r="G13" s="37">
        <v>0.99930555555555556</v>
      </c>
      <c r="H13" s="27" t="s">
        <v>58</v>
      </c>
      <c r="I13" s="41">
        <v>0</v>
      </c>
      <c r="J13" s="27">
        <v>0</v>
      </c>
      <c r="K13" s="47">
        <v>75.591820684231223</v>
      </c>
      <c r="L13" s="27">
        <v>0</v>
      </c>
    </row>
    <row r="14" spans="1:12" x14ac:dyDescent="0.25">
      <c r="A14" s="17">
        <v>12</v>
      </c>
      <c r="B14" s="26" t="s">
        <v>69</v>
      </c>
      <c r="C14" s="26"/>
      <c r="D14" s="31">
        <v>35.575277999999997</v>
      </c>
      <c r="E14" s="31">
        <v>35.869444000000001</v>
      </c>
      <c r="F14" s="36">
        <v>0</v>
      </c>
      <c r="G14" s="36">
        <v>0.99930555555555556</v>
      </c>
      <c r="H14" s="26" t="s">
        <v>58</v>
      </c>
      <c r="I14" s="40">
        <v>0</v>
      </c>
      <c r="J14" s="26">
        <v>0</v>
      </c>
      <c r="K14" s="46">
        <v>829.90169091624057</v>
      </c>
      <c r="L14" s="26">
        <v>0</v>
      </c>
    </row>
    <row r="15" spans="1:12" x14ac:dyDescent="0.25">
      <c r="A15" s="17">
        <v>13</v>
      </c>
      <c r="B15" s="27" t="s">
        <v>70</v>
      </c>
      <c r="C15" s="27"/>
      <c r="D15" s="32">
        <v>35.635308999999999</v>
      </c>
      <c r="E15" s="32">
        <v>35.954692999999999</v>
      </c>
      <c r="F15" s="37">
        <v>0</v>
      </c>
      <c r="G15" s="37">
        <v>0.99930555555555556</v>
      </c>
      <c r="H15" s="27" t="s">
        <v>58</v>
      </c>
      <c r="I15" s="41">
        <v>0</v>
      </c>
      <c r="J15" s="27">
        <v>0</v>
      </c>
      <c r="K15" s="47">
        <v>25.73338576484467</v>
      </c>
      <c r="L15" s="27">
        <v>0</v>
      </c>
    </row>
    <row r="16" spans="1:12" x14ac:dyDescent="0.25">
      <c r="A16" s="17">
        <v>14</v>
      </c>
      <c r="B16" s="26" t="s">
        <v>71</v>
      </c>
      <c r="C16" s="26"/>
      <c r="D16" s="31">
        <v>35.583333000000003</v>
      </c>
      <c r="E16" s="31">
        <v>35.900002999999998</v>
      </c>
      <c r="F16" s="36">
        <v>0</v>
      </c>
      <c r="G16" s="36">
        <v>0.99930555555555556</v>
      </c>
      <c r="H16" s="26" t="s">
        <v>58</v>
      </c>
      <c r="I16" s="40">
        <v>0</v>
      </c>
      <c r="J16" s="26">
        <v>0</v>
      </c>
      <c r="K16" s="46">
        <v>29.754227290601651</v>
      </c>
      <c r="L16" s="26">
        <v>0</v>
      </c>
    </row>
    <row r="17" spans="1:12" x14ac:dyDescent="0.25">
      <c r="A17" s="17">
        <v>15</v>
      </c>
      <c r="B17" s="27" t="s">
        <v>72</v>
      </c>
      <c r="C17" s="27"/>
      <c r="D17" s="32">
        <v>35.609721999999998</v>
      </c>
      <c r="E17" s="32">
        <v>35.976666999999999</v>
      </c>
      <c r="F17" s="37">
        <v>0</v>
      </c>
      <c r="G17" s="37">
        <v>0.99930555555555556</v>
      </c>
      <c r="H17" s="27" t="s">
        <v>58</v>
      </c>
      <c r="I17" s="41">
        <v>0</v>
      </c>
      <c r="J17" s="27">
        <v>0</v>
      </c>
      <c r="K17" s="47">
        <v>193.00039323633504</v>
      </c>
      <c r="L17" s="27">
        <v>0</v>
      </c>
    </row>
    <row r="18" spans="1:12" x14ac:dyDescent="0.25">
      <c r="A18" s="17">
        <v>16</v>
      </c>
      <c r="B18" s="26" t="s">
        <v>73</v>
      </c>
      <c r="C18" s="26"/>
      <c r="D18" s="31">
        <v>35.595556000000002</v>
      </c>
      <c r="E18" s="31">
        <v>35.893332999999998</v>
      </c>
      <c r="F18" s="36">
        <v>0</v>
      </c>
      <c r="G18" s="36">
        <v>0.99930555555555556</v>
      </c>
      <c r="H18" s="26" t="s">
        <v>58</v>
      </c>
      <c r="I18" s="40">
        <v>0</v>
      </c>
      <c r="J18" s="26">
        <v>0</v>
      </c>
      <c r="K18" s="46">
        <v>49.054266614235154</v>
      </c>
      <c r="L18" s="26">
        <v>0</v>
      </c>
    </row>
    <row r="19" spans="1:12" x14ac:dyDescent="0.25">
      <c r="A19" s="17">
        <v>17</v>
      </c>
      <c r="B19" s="27" t="s">
        <v>74</v>
      </c>
      <c r="C19" s="27"/>
      <c r="D19" s="32">
        <v>35.590528999999997</v>
      </c>
      <c r="E19" s="32">
        <v>35.881833</v>
      </c>
      <c r="F19" s="37">
        <v>0</v>
      </c>
      <c r="G19" s="37">
        <v>0.99930555555555556</v>
      </c>
      <c r="H19" s="27" t="s">
        <v>58</v>
      </c>
      <c r="I19" s="41">
        <v>0</v>
      </c>
      <c r="J19" s="27">
        <v>0</v>
      </c>
      <c r="K19" s="47">
        <v>127.86276051907197</v>
      </c>
      <c r="L19" s="27">
        <v>0</v>
      </c>
    </row>
    <row r="20" spans="1:12" x14ac:dyDescent="0.25">
      <c r="A20" s="17">
        <v>18</v>
      </c>
      <c r="B20" s="26" t="s">
        <v>75</v>
      </c>
      <c r="C20" s="26"/>
      <c r="D20" s="31">
        <v>35.626389000000003</v>
      </c>
      <c r="E20" s="31">
        <v>36.014167</v>
      </c>
      <c r="F20" s="36">
        <v>0</v>
      </c>
      <c r="G20" s="36">
        <v>0.99930555555555556</v>
      </c>
      <c r="H20" s="26" t="s">
        <v>58</v>
      </c>
      <c r="I20" s="40">
        <v>0</v>
      </c>
      <c r="J20" s="26">
        <v>0</v>
      </c>
      <c r="K20" s="46">
        <v>303.97561934722768</v>
      </c>
      <c r="L20" s="26">
        <v>0</v>
      </c>
    </row>
    <row r="21" spans="1:12" x14ac:dyDescent="0.25">
      <c r="A21" s="17">
        <v>19</v>
      </c>
      <c r="B21" s="27" t="s">
        <v>76</v>
      </c>
      <c r="C21" s="27"/>
      <c r="D21" s="32">
        <v>35.628610999999999</v>
      </c>
      <c r="E21" s="32">
        <v>36.006943999999997</v>
      </c>
      <c r="F21" s="37">
        <v>0</v>
      </c>
      <c r="G21" s="37">
        <v>0.99930555555555556</v>
      </c>
      <c r="H21" s="27" t="s">
        <v>58</v>
      </c>
      <c r="I21" s="41">
        <v>0</v>
      </c>
      <c r="J21" s="27">
        <v>0</v>
      </c>
      <c r="K21" s="47">
        <v>20.908375933936295</v>
      </c>
      <c r="L21" s="27">
        <v>0</v>
      </c>
    </row>
    <row r="22" spans="1:12" x14ac:dyDescent="0.25">
      <c r="A22" s="17">
        <v>20</v>
      </c>
      <c r="B22" s="26" t="s">
        <v>77</v>
      </c>
      <c r="C22" s="26"/>
      <c r="D22" s="31">
        <v>35.591667000000001</v>
      </c>
      <c r="E22" s="31">
        <v>35.912500000000001</v>
      </c>
      <c r="F22" s="36">
        <v>0</v>
      </c>
      <c r="G22" s="36">
        <v>0.99930555555555556</v>
      </c>
      <c r="H22" s="26" t="s">
        <v>58</v>
      </c>
      <c r="I22" s="40">
        <v>0</v>
      </c>
      <c r="J22" s="26">
        <v>0</v>
      </c>
      <c r="K22" s="46">
        <v>62.725127801808881</v>
      </c>
      <c r="L22" s="26">
        <v>0</v>
      </c>
    </row>
    <row r="23" spans="1:12" x14ac:dyDescent="0.25">
      <c r="A23" s="17">
        <v>21</v>
      </c>
      <c r="B23" s="27" t="s">
        <v>78</v>
      </c>
      <c r="C23" s="27"/>
      <c r="D23" s="32">
        <v>35.565832999999998</v>
      </c>
      <c r="E23" s="32">
        <v>35.912778000000003</v>
      </c>
      <c r="F23" s="37">
        <v>0</v>
      </c>
      <c r="G23" s="37">
        <v>0.99930555555555556</v>
      </c>
      <c r="H23" s="27" t="s">
        <v>58</v>
      </c>
      <c r="I23" s="41">
        <v>0</v>
      </c>
      <c r="J23" s="27">
        <v>0</v>
      </c>
      <c r="K23" s="47">
        <v>27.341722375147466</v>
      </c>
      <c r="L23" s="27">
        <v>0</v>
      </c>
    </row>
    <row r="24" spans="1:12" x14ac:dyDescent="0.25">
      <c r="A24" s="17">
        <v>22</v>
      </c>
      <c r="B24" s="26" t="s">
        <v>79</v>
      </c>
      <c r="C24" s="26"/>
      <c r="D24" s="31">
        <v>35.621943999999999</v>
      </c>
      <c r="E24" s="31">
        <v>35.980277999999998</v>
      </c>
      <c r="F24" s="36">
        <v>0</v>
      </c>
      <c r="G24" s="36">
        <v>0.99930555555555556</v>
      </c>
      <c r="H24" s="26" t="s">
        <v>58</v>
      </c>
      <c r="I24" s="40">
        <v>0</v>
      </c>
      <c r="J24" s="26">
        <v>0</v>
      </c>
      <c r="K24" s="46">
        <v>231.60047188360204</v>
      </c>
      <c r="L24" s="26">
        <v>0</v>
      </c>
    </row>
    <row r="25" spans="1:12" x14ac:dyDescent="0.25">
      <c r="A25" s="17">
        <v>23</v>
      </c>
      <c r="B25" s="27" t="s">
        <v>80</v>
      </c>
      <c r="C25" s="27"/>
      <c r="D25" s="32">
        <v>35.633929999999999</v>
      </c>
      <c r="E25" s="32">
        <v>35.977221</v>
      </c>
      <c r="F25" s="37">
        <v>0</v>
      </c>
      <c r="G25" s="37">
        <v>0.99930555555555556</v>
      </c>
      <c r="H25" s="27" t="s">
        <v>58</v>
      </c>
      <c r="I25" s="41">
        <v>0</v>
      </c>
      <c r="J25" s="27">
        <v>0</v>
      </c>
      <c r="K25" s="47">
        <v>516.69745331069612</v>
      </c>
      <c r="L25" s="27">
        <v>0</v>
      </c>
    </row>
    <row r="26" spans="1:12" x14ac:dyDescent="0.25">
      <c r="A26" s="17">
        <v>24</v>
      </c>
      <c r="B26" s="26" t="s">
        <v>81</v>
      </c>
      <c r="C26" s="26"/>
      <c r="D26" s="31">
        <v>35.671509999999998</v>
      </c>
      <c r="E26" s="31">
        <v>35.789811</v>
      </c>
      <c r="F26" s="36">
        <v>0</v>
      </c>
      <c r="G26" s="36">
        <v>0.99930555555555556</v>
      </c>
      <c r="H26" s="26" t="s">
        <v>58</v>
      </c>
      <c r="I26" s="40">
        <v>0</v>
      </c>
      <c r="J26" s="26">
        <v>0</v>
      </c>
      <c r="K26" s="46">
        <v>480.690662139219</v>
      </c>
      <c r="L26" s="26">
        <v>0</v>
      </c>
    </row>
    <row r="27" spans="1:12" x14ac:dyDescent="0.25">
      <c r="A27" s="17">
        <v>25</v>
      </c>
      <c r="B27" s="27" t="s">
        <v>82</v>
      </c>
      <c r="C27" s="27"/>
      <c r="D27" s="32">
        <v>35.658357000000002</v>
      </c>
      <c r="E27" s="32">
        <v>35.892732000000002</v>
      </c>
      <c r="F27" s="37">
        <v>0</v>
      </c>
      <c r="G27" s="37">
        <v>0.99930555555555556</v>
      </c>
      <c r="H27" s="27" t="s">
        <v>58</v>
      </c>
      <c r="I27" s="41">
        <v>0</v>
      </c>
      <c r="J27" s="27">
        <v>0</v>
      </c>
      <c r="K27" s="47">
        <v>207.03904923599322</v>
      </c>
      <c r="L27" s="27">
        <v>0</v>
      </c>
    </row>
    <row r="28" spans="1:12" x14ac:dyDescent="0.25">
      <c r="A28" s="17">
        <v>26</v>
      </c>
      <c r="B28" s="26" t="s">
        <v>83</v>
      </c>
      <c r="C28" s="26"/>
      <c r="D28" s="31">
        <v>35.660746000000003</v>
      </c>
      <c r="E28" s="31">
        <v>35.845717999999998</v>
      </c>
      <c r="F28" s="36">
        <v>0</v>
      </c>
      <c r="G28" s="36">
        <v>0.99930555555555556</v>
      </c>
      <c r="H28" s="26" t="s">
        <v>58</v>
      </c>
      <c r="I28" s="40">
        <v>0</v>
      </c>
      <c r="J28" s="26">
        <v>0</v>
      </c>
      <c r="K28" s="46">
        <v>49.509337860780981</v>
      </c>
      <c r="L28" s="26">
        <v>0</v>
      </c>
    </row>
    <row r="29" spans="1:12" x14ac:dyDescent="0.25">
      <c r="A29" s="17">
        <v>27</v>
      </c>
      <c r="B29" s="27" t="s">
        <v>84</v>
      </c>
      <c r="C29" s="27"/>
      <c r="D29" s="32">
        <v>35.618332000000002</v>
      </c>
      <c r="E29" s="32">
        <v>35.898181999999998</v>
      </c>
      <c r="F29" s="37">
        <v>0</v>
      </c>
      <c r="G29" s="37">
        <v>0.99930555555555556</v>
      </c>
      <c r="H29" s="27" t="s">
        <v>58</v>
      </c>
      <c r="I29" s="41">
        <v>0</v>
      </c>
      <c r="J29" s="27">
        <v>0</v>
      </c>
      <c r="K29" s="47">
        <v>36.90696095076401</v>
      </c>
      <c r="L29" s="27">
        <v>0</v>
      </c>
    </row>
    <row r="30" spans="1:12" x14ac:dyDescent="0.25">
      <c r="A30" s="17">
        <v>28</v>
      </c>
      <c r="B30" s="26" t="s">
        <v>85</v>
      </c>
      <c r="C30" s="26"/>
      <c r="D30" s="31">
        <v>35.672548999999997</v>
      </c>
      <c r="E30" s="31">
        <v>35.910440000000001</v>
      </c>
      <c r="F30" s="36">
        <v>0</v>
      </c>
      <c r="G30" s="36">
        <v>0.99930555555555556</v>
      </c>
      <c r="H30" s="26" t="s">
        <v>58</v>
      </c>
      <c r="I30" s="40">
        <v>0</v>
      </c>
      <c r="J30" s="26">
        <v>0</v>
      </c>
      <c r="K30" s="46">
        <v>53.110016977928687</v>
      </c>
      <c r="L30" s="26">
        <v>0</v>
      </c>
    </row>
    <row r="31" spans="1:12" x14ac:dyDescent="0.25">
      <c r="A31" s="17">
        <v>29</v>
      </c>
      <c r="B31" s="27" t="s">
        <v>86</v>
      </c>
      <c r="C31" s="27"/>
      <c r="D31" s="32">
        <v>35.667158000000001</v>
      </c>
      <c r="E31" s="32">
        <v>35.899811999999997</v>
      </c>
      <c r="F31" s="37">
        <v>0</v>
      </c>
      <c r="G31" s="37">
        <v>0.99930555555555556</v>
      </c>
      <c r="H31" s="27" t="s">
        <v>58</v>
      </c>
      <c r="I31" s="41">
        <v>0</v>
      </c>
      <c r="J31" s="27">
        <v>0</v>
      </c>
      <c r="K31" s="47">
        <v>252.04753820033955</v>
      </c>
      <c r="L31" s="27">
        <v>0</v>
      </c>
    </row>
    <row r="32" spans="1:12" x14ac:dyDescent="0.25">
      <c r="A32" s="16">
        <v>30</v>
      </c>
      <c r="B32" s="28" t="s">
        <v>87</v>
      </c>
      <c r="C32" s="28"/>
      <c r="D32" s="33">
        <v>35.629916999999999</v>
      </c>
      <c r="E32" s="33">
        <v>35.857708000000002</v>
      </c>
      <c r="F32" s="38">
        <v>0</v>
      </c>
      <c r="G32" s="38">
        <v>0.99930555555555556</v>
      </c>
      <c r="H32" s="28" t="s">
        <v>58</v>
      </c>
      <c r="I32" s="42">
        <v>0</v>
      </c>
      <c r="J32" s="28">
        <v>0</v>
      </c>
      <c r="K32" s="48">
        <v>90.917147707979623</v>
      </c>
      <c r="L32" s="28">
        <v>0</v>
      </c>
    </row>
  </sheetData>
  <conditionalFormatting sqref="A2">
    <cfRule type="expression" dxfId="947" priority="1" stopIfTrue="1">
      <formula>ISBLANK(A2)</formula>
    </cfRule>
  </conditionalFormatting>
  <conditionalFormatting sqref="B2">
    <cfRule type="expression" dxfId="946" priority="2" stopIfTrue="1">
      <formula>ISBLANK(B2)</formula>
    </cfRule>
  </conditionalFormatting>
  <conditionalFormatting sqref="F2">
    <cfRule type="cellIs" dxfId="945" priority="3" stopIfTrue="1" operator="greaterThan">
      <formula>G2-$I$2</formula>
    </cfRule>
  </conditionalFormatting>
  <conditionalFormatting sqref="G2">
    <cfRule type="cellIs" dxfId="944" priority="4" stopIfTrue="1" operator="lessThan">
      <formula>F2+$I$2</formula>
    </cfRule>
  </conditionalFormatting>
  <conditionalFormatting sqref="I2">
    <cfRule type="cellIs" dxfId="943" priority="5" stopIfTrue="1" operator="greaterThan">
      <formula>G2-F2 + 0.0001</formula>
    </cfRule>
  </conditionalFormatting>
  <conditionalFormatting sqref="A3">
    <cfRule type="expression" dxfId="942" priority="6" stopIfTrue="1">
      <formula>ISBLANK(A3)</formula>
    </cfRule>
  </conditionalFormatting>
  <conditionalFormatting sqref="B3">
    <cfRule type="expression" dxfId="941" priority="7" stopIfTrue="1">
      <formula>ISBLANK(B3)</formula>
    </cfRule>
  </conditionalFormatting>
  <conditionalFormatting sqref="F3">
    <cfRule type="cellIs" dxfId="940" priority="8" stopIfTrue="1" operator="greaterThan">
      <formula>G3-$I$3</formula>
    </cfRule>
  </conditionalFormatting>
  <conditionalFormatting sqref="G3">
    <cfRule type="cellIs" dxfId="939" priority="9" stopIfTrue="1" operator="lessThan">
      <formula>F3+$I$3</formula>
    </cfRule>
  </conditionalFormatting>
  <conditionalFormatting sqref="H3">
    <cfRule type="cellIs" dxfId="938" priority="10" stopIfTrue="1" operator="equal">
      <formula>"May be visited"</formula>
    </cfRule>
    <cfRule type="cellIs" dxfId="937" priority="11" stopIfTrue="1" operator="equal">
      <formula>"Don't visit"</formula>
    </cfRule>
  </conditionalFormatting>
  <conditionalFormatting sqref="I3">
    <cfRule type="cellIs" dxfId="936" priority="12" stopIfTrue="1" operator="greaterThan">
      <formula>G3-F3 + 0.0001</formula>
    </cfRule>
  </conditionalFormatting>
  <conditionalFormatting sqref="A4">
    <cfRule type="expression" dxfId="935" priority="13" stopIfTrue="1">
      <formula>ISBLANK(A4)</formula>
    </cfRule>
  </conditionalFormatting>
  <conditionalFormatting sqref="B4">
    <cfRule type="expression" dxfId="934" priority="14" stopIfTrue="1">
      <formula>ISBLANK(B4)</formula>
    </cfRule>
  </conditionalFormatting>
  <conditionalFormatting sqref="F4">
    <cfRule type="cellIs" dxfId="933" priority="15" stopIfTrue="1" operator="greaterThan">
      <formula>G4-$I$4</formula>
    </cfRule>
  </conditionalFormatting>
  <conditionalFormatting sqref="G4">
    <cfRule type="cellIs" dxfId="932" priority="16" stopIfTrue="1" operator="lessThan">
      <formula>F4+$I$4</formula>
    </cfRule>
  </conditionalFormatting>
  <conditionalFormatting sqref="H4">
    <cfRule type="cellIs" dxfId="931" priority="17" stopIfTrue="1" operator="equal">
      <formula>"May be visited"</formula>
    </cfRule>
    <cfRule type="cellIs" dxfId="930" priority="18" stopIfTrue="1" operator="equal">
      <formula>"Don't visit"</formula>
    </cfRule>
  </conditionalFormatting>
  <conditionalFormatting sqref="I4">
    <cfRule type="cellIs" dxfId="929" priority="19" stopIfTrue="1" operator="greaterThan">
      <formula>G4-F4 + 0.0001</formula>
    </cfRule>
  </conditionalFormatting>
  <conditionalFormatting sqref="A5">
    <cfRule type="expression" dxfId="928" priority="20" stopIfTrue="1">
      <formula>ISBLANK(A5)</formula>
    </cfRule>
  </conditionalFormatting>
  <conditionalFormatting sqref="B5">
    <cfRule type="expression" dxfId="927" priority="21" stopIfTrue="1">
      <formula>ISBLANK(B5)</formula>
    </cfRule>
  </conditionalFormatting>
  <conditionalFormatting sqref="F5">
    <cfRule type="cellIs" dxfId="926" priority="22" stopIfTrue="1" operator="greaterThan">
      <formula>G5-$I$5</formula>
    </cfRule>
  </conditionalFormatting>
  <conditionalFormatting sqref="G5">
    <cfRule type="cellIs" dxfId="925" priority="23" stopIfTrue="1" operator="lessThan">
      <formula>F5+$I$5</formula>
    </cfRule>
  </conditionalFormatting>
  <conditionalFormatting sqref="H5">
    <cfRule type="cellIs" dxfId="924" priority="24" stopIfTrue="1" operator="equal">
      <formula>"May be visited"</formula>
    </cfRule>
  </conditionalFormatting>
  <conditionalFormatting sqref="H5">
    <cfRule type="cellIs" dxfId="923" priority="25" stopIfTrue="1" operator="equal">
      <formula>"Don't visit"</formula>
    </cfRule>
  </conditionalFormatting>
  <conditionalFormatting sqref="I5">
    <cfRule type="cellIs" dxfId="922" priority="26" stopIfTrue="1" operator="greaterThan">
      <formula>G5-F5 + 0.0001</formula>
    </cfRule>
  </conditionalFormatting>
  <conditionalFormatting sqref="A6">
    <cfRule type="expression" dxfId="921" priority="27" stopIfTrue="1">
      <formula>ISBLANK(A6)</formula>
    </cfRule>
  </conditionalFormatting>
  <conditionalFormatting sqref="B6">
    <cfRule type="expression" dxfId="920" priority="28" stopIfTrue="1">
      <formula>ISBLANK(B6)</formula>
    </cfRule>
  </conditionalFormatting>
  <conditionalFormatting sqref="F6">
    <cfRule type="cellIs" dxfId="919" priority="29" stopIfTrue="1" operator="greaterThan">
      <formula>G6-$I$6</formula>
    </cfRule>
  </conditionalFormatting>
  <conditionalFormatting sqref="G6">
    <cfRule type="cellIs" dxfId="918" priority="30" stopIfTrue="1" operator="lessThan">
      <formula>F6+$I$6</formula>
    </cfRule>
  </conditionalFormatting>
  <conditionalFormatting sqref="H6">
    <cfRule type="cellIs" dxfId="917" priority="31" stopIfTrue="1" operator="equal">
      <formula>"May be visited"</formula>
    </cfRule>
  </conditionalFormatting>
  <conditionalFormatting sqref="H6">
    <cfRule type="cellIs" dxfId="916" priority="32" stopIfTrue="1" operator="equal">
      <formula>"Don't visit"</formula>
    </cfRule>
  </conditionalFormatting>
  <conditionalFormatting sqref="I6">
    <cfRule type="cellIs" dxfId="915" priority="33" stopIfTrue="1" operator="greaterThan">
      <formula>G6-F6 + 0.0001</formula>
    </cfRule>
  </conditionalFormatting>
  <conditionalFormatting sqref="A7">
    <cfRule type="expression" dxfId="914" priority="34" stopIfTrue="1">
      <formula>ISBLANK(A7)</formula>
    </cfRule>
  </conditionalFormatting>
  <conditionalFormatting sqref="B7">
    <cfRule type="expression" dxfId="913" priority="35" stopIfTrue="1">
      <formula>ISBLANK(B7)</formula>
    </cfRule>
  </conditionalFormatting>
  <conditionalFormatting sqref="F7">
    <cfRule type="cellIs" dxfId="912" priority="36" stopIfTrue="1" operator="greaterThan">
      <formula>G7-$I$7</formula>
    </cfRule>
  </conditionalFormatting>
  <conditionalFormatting sqref="G7">
    <cfRule type="cellIs" dxfId="911" priority="37" stopIfTrue="1" operator="lessThan">
      <formula>F7+$I$7</formula>
    </cfRule>
  </conditionalFormatting>
  <conditionalFormatting sqref="H7">
    <cfRule type="cellIs" dxfId="910" priority="38" stopIfTrue="1" operator="equal">
      <formula>"May be visited"</formula>
    </cfRule>
  </conditionalFormatting>
  <conditionalFormatting sqref="H7">
    <cfRule type="cellIs" dxfId="909" priority="39" stopIfTrue="1" operator="equal">
      <formula>"Don't visit"</formula>
    </cfRule>
  </conditionalFormatting>
  <conditionalFormatting sqref="I7">
    <cfRule type="cellIs" dxfId="908" priority="40" stopIfTrue="1" operator="greaterThan">
      <formula>G7-F7 + 0.0001</formula>
    </cfRule>
  </conditionalFormatting>
  <conditionalFormatting sqref="A8">
    <cfRule type="expression" dxfId="907" priority="41" stopIfTrue="1">
      <formula>ISBLANK(A8)</formula>
    </cfRule>
  </conditionalFormatting>
  <conditionalFormatting sqref="B8">
    <cfRule type="expression" dxfId="906" priority="42" stopIfTrue="1">
      <formula>ISBLANK(B8)</formula>
    </cfRule>
  </conditionalFormatting>
  <conditionalFormatting sqref="F8">
    <cfRule type="cellIs" dxfId="905" priority="43" stopIfTrue="1" operator="greaterThan">
      <formula>G8-$I$8</formula>
    </cfRule>
  </conditionalFormatting>
  <conditionalFormatting sqref="G8">
    <cfRule type="cellIs" dxfId="904" priority="44" stopIfTrue="1" operator="lessThan">
      <formula>F8+$I$8</formula>
    </cfRule>
  </conditionalFormatting>
  <conditionalFormatting sqref="H8">
    <cfRule type="cellIs" dxfId="903" priority="45" stopIfTrue="1" operator="equal">
      <formula>"May be visited"</formula>
    </cfRule>
  </conditionalFormatting>
  <conditionalFormatting sqref="H8">
    <cfRule type="cellIs" dxfId="902" priority="46" stopIfTrue="1" operator="equal">
      <formula>"Don't visit"</formula>
    </cfRule>
  </conditionalFormatting>
  <conditionalFormatting sqref="I8">
    <cfRule type="cellIs" dxfId="901" priority="47" stopIfTrue="1" operator="greaterThan">
      <formula>G8-F8 + 0.0001</formula>
    </cfRule>
  </conditionalFormatting>
  <conditionalFormatting sqref="A9">
    <cfRule type="expression" dxfId="900" priority="48" stopIfTrue="1">
      <formula>ISBLANK(A9)</formula>
    </cfRule>
  </conditionalFormatting>
  <conditionalFormatting sqref="B9">
    <cfRule type="expression" dxfId="899" priority="49" stopIfTrue="1">
      <formula>ISBLANK(B9)</formula>
    </cfRule>
  </conditionalFormatting>
  <conditionalFormatting sqref="F9">
    <cfRule type="cellIs" dxfId="898" priority="50" stopIfTrue="1" operator="greaterThan">
      <formula>G9-$I$9</formula>
    </cfRule>
  </conditionalFormatting>
  <conditionalFormatting sqref="G9">
    <cfRule type="cellIs" dxfId="897" priority="51" stopIfTrue="1" operator="lessThan">
      <formula>F9+$I$9</formula>
    </cfRule>
  </conditionalFormatting>
  <conditionalFormatting sqref="H9">
    <cfRule type="cellIs" dxfId="896" priority="52" stopIfTrue="1" operator="equal">
      <formula>"May be visited"</formula>
    </cfRule>
  </conditionalFormatting>
  <conditionalFormatting sqref="H9">
    <cfRule type="cellIs" dxfId="895" priority="53" stopIfTrue="1" operator="equal">
      <formula>"Don't visit"</formula>
    </cfRule>
  </conditionalFormatting>
  <conditionalFormatting sqref="I9">
    <cfRule type="cellIs" dxfId="894" priority="54" stopIfTrue="1" operator="greaterThan">
      <formula>G9-F9 + 0.0001</formula>
    </cfRule>
  </conditionalFormatting>
  <conditionalFormatting sqref="A10">
    <cfRule type="expression" dxfId="893" priority="55" stopIfTrue="1">
      <formula>ISBLANK(A10)</formula>
    </cfRule>
  </conditionalFormatting>
  <conditionalFormatting sqref="B10">
    <cfRule type="expression" dxfId="892" priority="56" stopIfTrue="1">
      <formula>ISBLANK(B10)</formula>
    </cfRule>
  </conditionalFormatting>
  <conditionalFormatting sqref="F10">
    <cfRule type="cellIs" dxfId="891" priority="57" stopIfTrue="1" operator="greaterThan">
      <formula>G10-$I$10</formula>
    </cfRule>
  </conditionalFormatting>
  <conditionalFormatting sqref="G10">
    <cfRule type="cellIs" dxfId="890" priority="58" stopIfTrue="1" operator="lessThan">
      <formula>F10+$I$10</formula>
    </cfRule>
  </conditionalFormatting>
  <conditionalFormatting sqref="H10">
    <cfRule type="cellIs" dxfId="889" priority="59" stopIfTrue="1" operator="equal">
      <formula>"May be visited"</formula>
    </cfRule>
  </conditionalFormatting>
  <conditionalFormatting sqref="H10">
    <cfRule type="cellIs" dxfId="888" priority="60" stopIfTrue="1" operator="equal">
      <formula>"Don't visit"</formula>
    </cfRule>
  </conditionalFormatting>
  <conditionalFormatting sqref="I10">
    <cfRule type="cellIs" dxfId="887" priority="61" stopIfTrue="1" operator="greaterThan">
      <formula>G10-F10 + 0.0001</formula>
    </cfRule>
  </conditionalFormatting>
  <conditionalFormatting sqref="A11">
    <cfRule type="expression" dxfId="886" priority="62" stopIfTrue="1">
      <formula>ISBLANK(A11)</formula>
    </cfRule>
  </conditionalFormatting>
  <conditionalFormatting sqref="B11">
    <cfRule type="expression" dxfId="885" priority="63" stopIfTrue="1">
      <formula>ISBLANK(B11)</formula>
    </cfRule>
  </conditionalFormatting>
  <conditionalFormatting sqref="F11">
    <cfRule type="cellIs" dxfId="884" priority="64" stopIfTrue="1" operator="greaterThan">
      <formula>G11-$I$11</formula>
    </cfRule>
  </conditionalFormatting>
  <conditionalFormatting sqref="G11">
    <cfRule type="cellIs" dxfId="883" priority="65" stopIfTrue="1" operator="lessThan">
      <formula>F11+$I$11</formula>
    </cfRule>
  </conditionalFormatting>
  <conditionalFormatting sqref="H11">
    <cfRule type="cellIs" dxfId="882" priority="66" stopIfTrue="1" operator="equal">
      <formula>"May be visited"</formula>
    </cfRule>
  </conditionalFormatting>
  <conditionalFormatting sqref="H11">
    <cfRule type="cellIs" dxfId="881" priority="67" stopIfTrue="1" operator="equal">
      <formula>"Don't visit"</formula>
    </cfRule>
  </conditionalFormatting>
  <conditionalFormatting sqref="I11">
    <cfRule type="cellIs" dxfId="880" priority="68" stopIfTrue="1" operator="greaterThan">
      <formula>G11-F11 + 0.0001</formula>
    </cfRule>
  </conditionalFormatting>
  <conditionalFormatting sqref="A12">
    <cfRule type="expression" dxfId="879" priority="69" stopIfTrue="1">
      <formula>ISBLANK(A12)</formula>
    </cfRule>
  </conditionalFormatting>
  <conditionalFormatting sqref="B12">
    <cfRule type="expression" dxfId="878" priority="70" stopIfTrue="1">
      <formula>ISBLANK(B12)</formula>
    </cfRule>
  </conditionalFormatting>
  <conditionalFormatting sqref="F12">
    <cfRule type="cellIs" dxfId="877" priority="71" stopIfTrue="1" operator="greaterThan">
      <formula>G12-$I$12</formula>
    </cfRule>
  </conditionalFormatting>
  <conditionalFormatting sqref="G12">
    <cfRule type="cellIs" dxfId="876" priority="72" stopIfTrue="1" operator="lessThan">
      <formula>F12+$I$12</formula>
    </cfRule>
  </conditionalFormatting>
  <conditionalFormatting sqref="H12">
    <cfRule type="cellIs" dxfId="875" priority="73" stopIfTrue="1" operator="equal">
      <formula>"May be visited"</formula>
    </cfRule>
  </conditionalFormatting>
  <conditionalFormatting sqref="H12">
    <cfRule type="cellIs" dxfId="874" priority="74" stopIfTrue="1" operator="equal">
      <formula>"Don't visit"</formula>
    </cfRule>
  </conditionalFormatting>
  <conditionalFormatting sqref="I12">
    <cfRule type="cellIs" dxfId="873" priority="75" stopIfTrue="1" operator="greaterThan">
      <formula>G12-F12 + 0.0001</formula>
    </cfRule>
  </conditionalFormatting>
  <conditionalFormatting sqref="A13">
    <cfRule type="expression" dxfId="872" priority="76" stopIfTrue="1">
      <formula>ISBLANK(A13)</formula>
    </cfRule>
  </conditionalFormatting>
  <conditionalFormatting sqref="B13">
    <cfRule type="expression" dxfId="871" priority="77" stopIfTrue="1">
      <formula>ISBLANK(B13)</formula>
    </cfRule>
  </conditionalFormatting>
  <conditionalFormatting sqref="F13">
    <cfRule type="cellIs" dxfId="870" priority="78" stopIfTrue="1" operator="greaterThan">
      <formula>G13-$I$13</formula>
    </cfRule>
  </conditionalFormatting>
  <conditionalFormatting sqref="G13">
    <cfRule type="cellIs" dxfId="869" priority="79" stopIfTrue="1" operator="lessThan">
      <formula>F13+$I$13</formula>
    </cfRule>
  </conditionalFormatting>
  <conditionalFormatting sqref="H13">
    <cfRule type="cellIs" dxfId="868" priority="80" stopIfTrue="1" operator="equal">
      <formula>"May be visited"</formula>
    </cfRule>
  </conditionalFormatting>
  <conditionalFormatting sqref="H13">
    <cfRule type="cellIs" dxfId="867" priority="81" stopIfTrue="1" operator="equal">
      <formula>"Don't visit"</formula>
    </cfRule>
  </conditionalFormatting>
  <conditionalFormatting sqref="I13">
    <cfRule type="cellIs" dxfId="866" priority="82" stopIfTrue="1" operator="greaterThan">
      <formula>G13-F13 + 0.0001</formula>
    </cfRule>
  </conditionalFormatting>
  <conditionalFormatting sqref="A14">
    <cfRule type="expression" dxfId="865" priority="83" stopIfTrue="1">
      <formula>ISBLANK(A14)</formula>
    </cfRule>
  </conditionalFormatting>
  <conditionalFormatting sqref="B14">
    <cfRule type="expression" dxfId="864" priority="84" stopIfTrue="1">
      <formula>ISBLANK(B14)</formula>
    </cfRule>
  </conditionalFormatting>
  <conditionalFormatting sqref="F14">
    <cfRule type="cellIs" dxfId="863" priority="85" stopIfTrue="1" operator="greaterThan">
      <formula>G14-$I$14</formula>
    </cfRule>
  </conditionalFormatting>
  <conditionalFormatting sqref="G14">
    <cfRule type="cellIs" dxfId="862" priority="86" stopIfTrue="1" operator="lessThan">
      <formula>F14+$I$14</formula>
    </cfRule>
  </conditionalFormatting>
  <conditionalFormatting sqref="H14">
    <cfRule type="cellIs" dxfId="861" priority="87" stopIfTrue="1" operator="equal">
      <formula>"May be visited"</formula>
    </cfRule>
  </conditionalFormatting>
  <conditionalFormatting sqref="H14">
    <cfRule type="cellIs" dxfId="860" priority="88" stopIfTrue="1" operator="equal">
      <formula>"Don't visit"</formula>
    </cfRule>
  </conditionalFormatting>
  <conditionalFormatting sqref="I14">
    <cfRule type="cellIs" dxfId="859" priority="89" stopIfTrue="1" operator="greaterThan">
      <formula>G14-F14 + 0.0001</formula>
    </cfRule>
  </conditionalFormatting>
  <conditionalFormatting sqref="A15">
    <cfRule type="expression" dxfId="858" priority="90" stopIfTrue="1">
      <formula>ISBLANK(A15)</formula>
    </cfRule>
  </conditionalFormatting>
  <conditionalFormatting sqref="B15">
    <cfRule type="expression" dxfId="857" priority="91" stopIfTrue="1">
      <formula>ISBLANK(B15)</formula>
    </cfRule>
  </conditionalFormatting>
  <conditionalFormatting sqref="F15">
    <cfRule type="cellIs" dxfId="856" priority="92" stopIfTrue="1" operator="greaterThan">
      <formula>G15-$I$15</formula>
    </cfRule>
  </conditionalFormatting>
  <conditionalFormatting sqref="G15">
    <cfRule type="cellIs" dxfId="855" priority="93" stopIfTrue="1" operator="lessThan">
      <formula>F15+$I$15</formula>
    </cfRule>
  </conditionalFormatting>
  <conditionalFormatting sqref="H15">
    <cfRule type="cellIs" dxfId="854" priority="94" stopIfTrue="1" operator="equal">
      <formula>"May be visited"</formula>
    </cfRule>
  </conditionalFormatting>
  <conditionalFormatting sqref="H15">
    <cfRule type="cellIs" dxfId="853" priority="95" stopIfTrue="1" operator="equal">
      <formula>"Don't visit"</formula>
    </cfRule>
  </conditionalFormatting>
  <conditionalFormatting sqref="I15">
    <cfRule type="cellIs" dxfId="852" priority="96" stopIfTrue="1" operator="greaterThan">
      <formula>G15-F15 + 0.0001</formula>
    </cfRule>
  </conditionalFormatting>
  <conditionalFormatting sqref="A16">
    <cfRule type="expression" dxfId="851" priority="97" stopIfTrue="1">
      <formula>ISBLANK(A16)</formula>
    </cfRule>
  </conditionalFormatting>
  <conditionalFormatting sqref="B16">
    <cfRule type="expression" dxfId="850" priority="98" stopIfTrue="1">
      <formula>ISBLANK(B16)</formula>
    </cfRule>
  </conditionalFormatting>
  <conditionalFormatting sqref="F16">
    <cfRule type="cellIs" dxfId="849" priority="99" stopIfTrue="1" operator="greaterThan">
      <formula>G16-$I$16</formula>
    </cfRule>
  </conditionalFormatting>
  <conditionalFormatting sqref="G16">
    <cfRule type="cellIs" dxfId="848" priority="100" stopIfTrue="1" operator="lessThan">
      <formula>F16+$I$16</formula>
    </cfRule>
  </conditionalFormatting>
  <conditionalFormatting sqref="H16">
    <cfRule type="cellIs" dxfId="847" priority="101" stopIfTrue="1" operator="equal">
      <formula>"May be visited"</formula>
    </cfRule>
  </conditionalFormatting>
  <conditionalFormatting sqref="H16">
    <cfRule type="cellIs" dxfId="846" priority="102" stopIfTrue="1" operator="equal">
      <formula>"Don't visit"</formula>
    </cfRule>
  </conditionalFormatting>
  <conditionalFormatting sqref="I16">
    <cfRule type="cellIs" dxfId="845" priority="103" stopIfTrue="1" operator="greaterThan">
      <formula>G16-F16 + 0.0001</formula>
    </cfRule>
  </conditionalFormatting>
  <conditionalFormatting sqref="A17">
    <cfRule type="expression" dxfId="844" priority="104" stopIfTrue="1">
      <formula>ISBLANK(A17)</formula>
    </cfRule>
  </conditionalFormatting>
  <conditionalFormatting sqref="B17">
    <cfRule type="expression" dxfId="843" priority="105" stopIfTrue="1">
      <formula>ISBLANK(B17)</formula>
    </cfRule>
  </conditionalFormatting>
  <conditionalFormatting sqref="F17">
    <cfRule type="cellIs" dxfId="842" priority="106" stopIfTrue="1" operator="greaterThan">
      <formula>G17-$I$17</formula>
    </cfRule>
  </conditionalFormatting>
  <conditionalFormatting sqref="G17">
    <cfRule type="cellIs" dxfId="841" priority="107" stopIfTrue="1" operator="lessThan">
      <formula>F17+$I$17</formula>
    </cfRule>
  </conditionalFormatting>
  <conditionalFormatting sqref="H17">
    <cfRule type="cellIs" dxfId="840" priority="108" stopIfTrue="1" operator="equal">
      <formula>"May be visited"</formula>
    </cfRule>
  </conditionalFormatting>
  <conditionalFormatting sqref="H17">
    <cfRule type="cellIs" dxfId="839" priority="109" stopIfTrue="1" operator="equal">
      <formula>"Don't visit"</formula>
    </cfRule>
  </conditionalFormatting>
  <conditionalFormatting sqref="I17">
    <cfRule type="cellIs" dxfId="838" priority="110" stopIfTrue="1" operator="greaterThan">
      <formula>G17-F17 + 0.0001</formula>
    </cfRule>
  </conditionalFormatting>
  <conditionalFormatting sqref="A18">
    <cfRule type="expression" dxfId="837" priority="111" stopIfTrue="1">
      <formula>ISBLANK(A18)</formula>
    </cfRule>
  </conditionalFormatting>
  <conditionalFormatting sqref="B18">
    <cfRule type="expression" dxfId="836" priority="112" stopIfTrue="1">
      <formula>ISBLANK(B18)</formula>
    </cfRule>
  </conditionalFormatting>
  <conditionalFormatting sqref="F18">
    <cfRule type="cellIs" dxfId="835" priority="113" stopIfTrue="1" operator="greaterThan">
      <formula>G18-$I$18</formula>
    </cfRule>
  </conditionalFormatting>
  <conditionalFormatting sqref="G18">
    <cfRule type="cellIs" dxfId="834" priority="114" stopIfTrue="1" operator="lessThan">
      <formula>F18+$I$18</formula>
    </cfRule>
  </conditionalFormatting>
  <conditionalFormatting sqref="H18">
    <cfRule type="cellIs" dxfId="833" priority="115" stopIfTrue="1" operator="equal">
      <formula>"May be visited"</formula>
    </cfRule>
  </conditionalFormatting>
  <conditionalFormatting sqref="H18">
    <cfRule type="cellIs" dxfId="832" priority="116" stopIfTrue="1" operator="equal">
      <formula>"Don't visit"</formula>
    </cfRule>
  </conditionalFormatting>
  <conditionalFormatting sqref="I18">
    <cfRule type="cellIs" dxfId="831" priority="117" stopIfTrue="1" operator="greaterThan">
      <formula>G18-F18 + 0.0001</formula>
    </cfRule>
  </conditionalFormatting>
  <conditionalFormatting sqref="A19">
    <cfRule type="expression" dxfId="830" priority="118" stopIfTrue="1">
      <formula>ISBLANK(A19)</formula>
    </cfRule>
  </conditionalFormatting>
  <conditionalFormatting sqref="B19">
    <cfRule type="expression" dxfId="829" priority="119" stopIfTrue="1">
      <formula>ISBLANK(B19)</formula>
    </cfRule>
  </conditionalFormatting>
  <conditionalFormatting sqref="F19">
    <cfRule type="cellIs" dxfId="828" priority="120" stopIfTrue="1" operator="greaterThan">
      <formula>G19-$I$19</formula>
    </cfRule>
  </conditionalFormatting>
  <conditionalFormatting sqref="G19">
    <cfRule type="cellIs" dxfId="827" priority="121" stopIfTrue="1" operator="lessThan">
      <formula>F19+$I$19</formula>
    </cfRule>
  </conditionalFormatting>
  <conditionalFormatting sqref="H19">
    <cfRule type="cellIs" dxfId="826" priority="122" stopIfTrue="1" operator="equal">
      <formula>"May be visited"</formula>
    </cfRule>
  </conditionalFormatting>
  <conditionalFormatting sqref="H19">
    <cfRule type="cellIs" dxfId="825" priority="123" stopIfTrue="1" operator="equal">
      <formula>"Don't visit"</formula>
    </cfRule>
  </conditionalFormatting>
  <conditionalFormatting sqref="I19">
    <cfRule type="cellIs" dxfId="824" priority="124" stopIfTrue="1" operator="greaterThan">
      <formula>G19-F19 + 0.0001</formula>
    </cfRule>
  </conditionalFormatting>
  <conditionalFormatting sqref="A20">
    <cfRule type="expression" dxfId="823" priority="125" stopIfTrue="1">
      <formula>ISBLANK(A20)</formula>
    </cfRule>
  </conditionalFormatting>
  <conditionalFormatting sqref="B20">
    <cfRule type="expression" dxfId="822" priority="126" stopIfTrue="1">
      <formula>ISBLANK(B20)</formula>
    </cfRule>
  </conditionalFormatting>
  <conditionalFormatting sqref="F20">
    <cfRule type="cellIs" dxfId="821" priority="127" stopIfTrue="1" operator="greaterThan">
      <formula>G20-$I$20</formula>
    </cfRule>
  </conditionalFormatting>
  <conditionalFormatting sqref="G20">
    <cfRule type="cellIs" dxfId="820" priority="128" stopIfTrue="1" operator="lessThan">
      <formula>F20+$I$20</formula>
    </cfRule>
  </conditionalFormatting>
  <conditionalFormatting sqref="H20">
    <cfRule type="cellIs" dxfId="819" priority="129" stopIfTrue="1" operator="equal">
      <formula>"May be visited"</formula>
    </cfRule>
  </conditionalFormatting>
  <conditionalFormatting sqref="H20">
    <cfRule type="cellIs" dxfId="818" priority="130" stopIfTrue="1" operator="equal">
      <formula>"Don't visit"</formula>
    </cfRule>
  </conditionalFormatting>
  <conditionalFormatting sqref="I20">
    <cfRule type="cellIs" dxfId="817" priority="131" stopIfTrue="1" operator="greaterThan">
      <formula>G20-F20 + 0.0001</formula>
    </cfRule>
  </conditionalFormatting>
  <conditionalFormatting sqref="A21">
    <cfRule type="expression" dxfId="816" priority="132" stopIfTrue="1">
      <formula>ISBLANK(A21)</formula>
    </cfRule>
  </conditionalFormatting>
  <conditionalFormatting sqref="B21">
    <cfRule type="expression" dxfId="815" priority="133" stopIfTrue="1">
      <formula>ISBLANK(B21)</formula>
    </cfRule>
  </conditionalFormatting>
  <conditionalFormatting sqref="F21">
    <cfRule type="cellIs" dxfId="814" priority="134" stopIfTrue="1" operator="greaterThan">
      <formula>G21-$I$21</formula>
    </cfRule>
  </conditionalFormatting>
  <conditionalFormatting sqref="G21">
    <cfRule type="cellIs" dxfId="813" priority="135" stopIfTrue="1" operator="lessThan">
      <formula>F21+$I$21</formula>
    </cfRule>
  </conditionalFormatting>
  <conditionalFormatting sqref="H21">
    <cfRule type="cellIs" dxfId="812" priority="136" stopIfTrue="1" operator="equal">
      <formula>"May be visited"</formula>
    </cfRule>
  </conditionalFormatting>
  <conditionalFormatting sqref="H21">
    <cfRule type="cellIs" dxfId="811" priority="137" stopIfTrue="1" operator="equal">
      <formula>"Don't visit"</formula>
    </cfRule>
  </conditionalFormatting>
  <conditionalFormatting sqref="I21">
    <cfRule type="cellIs" dxfId="810" priority="138" stopIfTrue="1" operator="greaterThan">
      <formula>G21-F21 + 0.0001</formula>
    </cfRule>
  </conditionalFormatting>
  <conditionalFormatting sqref="A22">
    <cfRule type="expression" dxfId="809" priority="139" stopIfTrue="1">
      <formula>ISBLANK(A22)</formula>
    </cfRule>
  </conditionalFormatting>
  <conditionalFormatting sqref="B22">
    <cfRule type="expression" dxfId="808" priority="140" stopIfTrue="1">
      <formula>ISBLANK(B22)</formula>
    </cfRule>
  </conditionalFormatting>
  <conditionalFormatting sqref="F22">
    <cfRule type="cellIs" dxfId="807" priority="141" stopIfTrue="1" operator="greaterThan">
      <formula>G22-$I$22</formula>
    </cfRule>
  </conditionalFormatting>
  <conditionalFormatting sqref="G22">
    <cfRule type="cellIs" dxfId="806" priority="142" stopIfTrue="1" operator="lessThan">
      <formula>F22+$I$22</formula>
    </cfRule>
  </conditionalFormatting>
  <conditionalFormatting sqref="H22">
    <cfRule type="cellIs" dxfId="805" priority="143" stopIfTrue="1" operator="equal">
      <formula>"May be visited"</formula>
    </cfRule>
  </conditionalFormatting>
  <conditionalFormatting sqref="H22">
    <cfRule type="cellIs" dxfId="804" priority="144" stopIfTrue="1" operator="equal">
      <formula>"Don't visit"</formula>
    </cfRule>
  </conditionalFormatting>
  <conditionalFormatting sqref="I22">
    <cfRule type="cellIs" dxfId="803" priority="145" stopIfTrue="1" operator="greaterThan">
      <formula>G22-F22 + 0.0001</formula>
    </cfRule>
  </conditionalFormatting>
  <conditionalFormatting sqref="A23">
    <cfRule type="expression" dxfId="802" priority="146" stopIfTrue="1">
      <formula>ISBLANK(A23)</formula>
    </cfRule>
  </conditionalFormatting>
  <conditionalFormatting sqref="B23">
    <cfRule type="expression" dxfId="801" priority="147" stopIfTrue="1">
      <formula>ISBLANK(B23)</formula>
    </cfRule>
  </conditionalFormatting>
  <conditionalFormatting sqref="F23">
    <cfRule type="cellIs" dxfId="800" priority="148" stopIfTrue="1" operator="greaterThan">
      <formula>G23-$I$23</formula>
    </cfRule>
  </conditionalFormatting>
  <conditionalFormatting sqref="G23">
    <cfRule type="cellIs" dxfId="799" priority="149" stopIfTrue="1" operator="lessThan">
      <formula>F23+$I$23</formula>
    </cfRule>
  </conditionalFormatting>
  <conditionalFormatting sqref="H23">
    <cfRule type="cellIs" dxfId="798" priority="150" stopIfTrue="1" operator="equal">
      <formula>"May be visited"</formula>
    </cfRule>
  </conditionalFormatting>
  <conditionalFormatting sqref="H23">
    <cfRule type="cellIs" dxfId="797" priority="151" stopIfTrue="1" operator="equal">
      <formula>"Don't visit"</formula>
    </cfRule>
  </conditionalFormatting>
  <conditionalFormatting sqref="I23">
    <cfRule type="cellIs" dxfId="796" priority="152" stopIfTrue="1" operator="greaterThan">
      <formula>G23-F23 + 0.0001</formula>
    </cfRule>
  </conditionalFormatting>
  <conditionalFormatting sqref="A24">
    <cfRule type="expression" dxfId="795" priority="153" stopIfTrue="1">
      <formula>ISBLANK(A24)</formula>
    </cfRule>
  </conditionalFormatting>
  <conditionalFormatting sqref="B24">
    <cfRule type="expression" dxfId="794" priority="154" stopIfTrue="1">
      <formula>ISBLANK(B24)</formula>
    </cfRule>
  </conditionalFormatting>
  <conditionalFormatting sqref="F24">
    <cfRule type="cellIs" dxfId="793" priority="155" stopIfTrue="1" operator="greaterThan">
      <formula>G24-$I$24</formula>
    </cfRule>
  </conditionalFormatting>
  <conditionalFormatting sqref="G24">
    <cfRule type="cellIs" dxfId="792" priority="156" stopIfTrue="1" operator="lessThan">
      <formula>F24+$I$24</formula>
    </cfRule>
  </conditionalFormatting>
  <conditionalFormatting sqref="H24">
    <cfRule type="cellIs" dxfId="791" priority="157" stopIfTrue="1" operator="equal">
      <formula>"May be visited"</formula>
    </cfRule>
  </conditionalFormatting>
  <conditionalFormatting sqref="H24">
    <cfRule type="cellIs" dxfId="790" priority="158" stopIfTrue="1" operator="equal">
      <formula>"Don't visit"</formula>
    </cfRule>
  </conditionalFormatting>
  <conditionalFormatting sqref="I24">
    <cfRule type="cellIs" dxfId="789" priority="159" stopIfTrue="1" operator="greaterThan">
      <formula>G24-F24 + 0.0001</formula>
    </cfRule>
  </conditionalFormatting>
  <conditionalFormatting sqref="A25">
    <cfRule type="expression" dxfId="788" priority="160" stopIfTrue="1">
      <formula>ISBLANK(A25)</formula>
    </cfRule>
  </conditionalFormatting>
  <conditionalFormatting sqref="B25">
    <cfRule type="expression" dxfId="787" priority="161" stopIfTrue="1">
      <formula>ISBLANK(B25)</formula>
    </cfRule>
  </conditionalFormatting>
  <conditionalFormatting sqref="F25">
    <cfRule type="cellIs" dxfId="786" priority="162" stopIfTrue="1" operator="greaterThan">
      <formula>G25-$I$25</formula>
    </cfRule>
  </conditionalFormatting>
  <conditionalFormatting sqref="G25">
    <cfRule type="cellIs" dxfId="785" priority="163" stopIfTrue="1" operator="lessThan">
      <formula>F25+$I$25</formula>
    </cfRule>
  </conditionalFormatting>
  <conditionalFormatting sqref="H25">
    <cfRule type="cellIs" dxfId="784" priority="164" stopIfTrue="1" operator="equal">
      <formula>"May be visited"</formula>
    </cfRule>
  </conditionalFormatting>
  <conditionalFormatting sqref="H25">
    <cfRule type="cellIs" dxfId="783" priority="165" stopIfTrue="1" operator="equal">
      <formula>"Don't visit"</formula>
    </cfRule>
  </conditionalFormatting>
  <conditionalFormatting sqref="I25">
    <cfRule type="cellIs" dxfId="782" priority="166" stopIfTrue="1" operator="greaterThan">
      <formula>G25-F25 + 0.0001</formula>
    </cfRule>
  </conditionalFormatting>
  <conditionalFormatting sqref="A26">
    <cfRule type="expression" dxfId="781" priority="167" stopIfTrue="1">
      <formula>ISBLANK(A26)</formula>
    </cfRule>
  </conditionalFormatting>
  <conditionalFormatting sqref="B26">
    <cfRule type="expression" dxfId="780" priority="168" stopIfTrue="1">
      <formula>ISBLANK(B26)</formula>
    </cfRule>
  </conditionalFormatting>
  <conditionalFormatting sqref="F26">
    <cfRule type="cellIs" dxfId="779" priority="169" stopIfTrue="1" operator="greaterThan">
      <formula>G26-$I$26</formula>
    </cfRule>
  </conditionalFormatting>
  <conditionalFormatting sqref="G26">
    <cfRule type="cellIs" dxfId="778" priority="170" stopIfTrue="1" operator="lessThan">
      <formula>F26+$I$26</formula>
    </cfRule>
  </conditionalFormatting>
  <conditionalFormatting sqref="H26">
    <cfRule type="cellIs" dxfId="777" priority="171" stopIfTrue="1" operator="equal">
      <formula>"May be visited"</formula>
    </cfRule>
  </conditionalFormatting>
  <conditionalFormatting sqref="H26">
    <cfRule type="cellIs" dxfId="776" priority="172" stopIfTrue="1" operator="equal">
      <formula>"Don't visit"</formula>
    </cfRule>
  </conditionalFormatting>
  <conditionalFormatting sqref="I26">
    <cfRule type="cellIs" dxfId="775" priority="173" stopIfTrue="1" operator="greaterThan">
      <formula>G26-F26 + 0.0001</formula>
    </cfRule>
  </conditionalFormatting>
  <conditionalFormatting sqref="A27">
    <cfRule type="expression" dxfId="774" priority="174" stopIfTrue="1">
      <formula>ISBLANK(A27)</formula>
    </cfRule>
  </conditionalFormatting>
  <conditionalFormatting sqref="B27">
    <cfRule type="expression" dxfId="773" priority="175" stopIfTrue="1">
      <formula>ISBLANK(B27)</formula>
    </cfRule>
  </conditionalFormatting>
  <conditionalFormatting sqref="F27">
    <cfRule type="cellIs" dxfId="772" priority="176" stopIfTrue="1" operator="greaterThan">
      <formula>G27-$I$27</formula>
    </cfRule>
  </conditionalFormatting>
  <conditionalFormatting sqref="G27">
    <cfRule type="cellIs" dxfId="771" priority="177" stopIfTrue="1" operator="lessThan">
      <formula>F27+$I$27</formula>
    </cfRule>
  </conditionalFormatting>
  <conditionalFormatting sqref="H27">
    <cfRule type="cellIs" dxfId="770" priority="178" stopIfTrue="1" operator="equal">
      <formula>"May be visited"</formula>
    </cfRule>
  </conditionalFormatting>
  <conditionalFormatting sqref="H27">
    <cfRule type="cellIs" dxfId="769" priority="179" stopIfTrue="1" operator="equal">
      <formula>"Don't visit"</formula>
    </cfRule>
  </conditionalFormatting>
  <conditionalFormatting sqref="I27">
    <cfRule type="cellIs" dxfId="768" priority="180" stopIfTrue="1" operator="greaterThan">
      <formula>G27-F27 + 0.0001</formula>
    </cfRule>
  </conditionalFormatting>
  <conditionalFormatting sqref="A28">
    <cfRule type="expression" dxfId="767" priority="181" stopIfTrue="1">
      <formula>ISBLANK(A28)</formula>
    </cfRule>
  </conditionalFormatting>
  <conditionalFormatting sqref="B28">
    <cfRule type="expression" dxfId="766" priority="182" stopIfTrue="1">
      <formula>ISBLANK(B28)</formula>
    </cfRule>
  </conditionalFormatting>
  <conditionalFormatting sqref="F28">
    <cfRule type="cellIs" dxfId="765" priority="183" stopIfTrue="1" operator="greaterThan">
      <formula>G28-$I$28</formula>
    </cfRule>
  </conditionalFormatting>
  <conditionalFormatting sqref="G28">
    <cfRule type="cellIs" dxfId="764" priority="184" stopIfTrue="1" operator="lessThan">
      <formula>F28+$I$28</formula>
    </cfRule>
  </conditionalFormatting>
  <conditionalFormatting sqref="H28">
    <cfRule type="cellIs" dxfId="763" priority="185" stopIfTrue="1" operator="equal">
      <formula>"May be visited"</formula>
    </cfRule>
  </conditionalFormatting>
  <conditionalFormatting sqref="H28">
    <cfRule type="cellIs" dxfId="762" priority="186" stopIfTrue="1" operator="equal">
      <formula>"Don't visit"</formula>
    </cfRule>
  </conditionalFormatting>
  <conditionalFormatting sqref="I28">
    <cfRule type="cellIs" dxfId="761" priority="187" stopIfTrue="1" operator="greaterThan">
      <formula>G28-F28 + 0.0001</formula>
    </cfRule>
  </conditionalFormatting>
  <conditionalFormatting sqref="A29">
    <cfRule type="expression" dxfId="760" priority="188" stopIfTrue="1">
      <formula>ISBLANK(A29)</formula>
    </cfRule>
  </conditionalFormatting>
  <conditionalFormatting sqref="B29">
    <cfRule type="expression" dxfId="759" priority="189" stopIfTrue="1">
      <formula>ISBLANK(B29)</formula>
    </cfRule>
  </conditionalFormatting>
  <conditionalFormatting sqref="F29">
    <cfRule type="cellIs" dxfId="758" priority="190" stopIfTrue="1" operator="greaterThan">
      <formula>G29-$I$29</formula>
    </cfRule>
  </conditionalFormatting>
  <conditionalFormatting sqref="G29">
    <cfRule type="cellIs" dxfId="757" priority="191" stopIfTrue="1" operator="lessThan">
      <formula>F29+$I$29</formula>
    </cfRule>
  </conditionalFormatting>
  <conditionalFormatting sqref="H29">
    <cfRule type="cellIs" dxfId="756" priority="192" stopIfTrue="1" operator="equal">
      <formula>"May be visited"</formula>
    </cfRule>
  </conditionalFormatting>
  <conditionalFormatting sqref="H29">
    <cfRule type="cellIs" dxfId="755" priority="193" stopIfTrue="1" operator="equal">
      <formula>"Don't visit"</formula>
    </cfRule>
  </conditionalFormatting>
  <conditionalFormatting sqref="I29">
    <cfRule type="cellIs" dxfId="754" priority="194" stopIfTrue="1" operator="greaterThan">
      <formula>G29-F29 + 0.0001</formula>
    </cfRule>
  </conditionalFormatting>
  <conditionalFormatting sqref="A30">
    <cfRule type="expression" dxfId="753" priority="195" stopIfTrue="1">
      <formula>ISBLANK(A30)</formula>
    </cfRule>
  </conditionalFormatting>
  <conditionalFormatting sqref="B30">
    <cfRule type="expression" dxfId="752" priority="196" stopIfTrue="1">
      <formula>ISBLANK(B30)</formula>
    </cfRule>
  </conditionalFormatting>
  <conditionalFormatting sqref="F30">
    <cfRule type="cellIs" dxfId="751" priority="197" stopIfTrue="1" operator="greaterThan">
      <formula>G30-$I$30</formula>
    </cfRule>
  </conditionalFormatting>
  <conditionalFormatting sqref="G30">
    <cfRule type="cellIs" dxfId="750" priority="198" stopIfTrue="1" operator="lessThan">
      <formula>F30+$I$30</formula>
    </cfRule>
  </conditionalFormatting>
  <conditionalFormatting sqref="H30">
    <cfRule type="cellIs" dxfId="749" priority="199" stopIfTrue="1" operator="equal">
      <formula>"May be visited"</formula>
    </cfRule>
  </conditionalFormatting>
  <conditionalFormatting sqref="H30">
    <cfRule type="cellIs" dxfId="748" priority="200" stopIfTrue="1" operator="equal">
      <formula>"Don't visit"</formula>
    </cfRule>
  </conditionalFormatting>
  <conditionalFormatting sqref="I30">
    <cfRule type="cellIs" dxfId="747" priority="201" stopIfTrue="1" operator="greaterThan">
      <formula>G30-F30 + 0.0001</formula>
    </cfRule>
  </conditionalFormatting>
  <conditionalFormatting sqref="A31">
    <cfRule type="expression" dxfId="746" priority="202" stopIfTrue="1">
      <formula>ISBLANK(A31)</formula>
    </cfRule>
  </conditionalFormatting>
  <conditionalFormatting sqref="B31">
    <cfRule type="expression" dxfId="745" priority="203" stopIfTrue="1">
      <formula>ISBLANK(B31)</formula>
    </cfRule>
  </conditionalFormatting>
  <conditionalFormatting sqref="F31">
    <cfRule type="cellIs" dxfId="744" priority="204" stopIfTrue="1" operator="greaterThan">
      <formula>G31-$I$31</formula>
    </cfRule>
  </conditionalFormatting>
  <conditionalFormatting sqref="G31">
    <cfRule type="cellIs" dxfId="743" priority="205" stopIfTrue="1" operator="lessThan">
      <formula>F31+$I$31</formula>
    </cfRule>
  </conditionalFormatting>
  <conditionalFormatting sqref="H31">
    <cfRule type="cellIs" dxfId="742" priority="206" stopIfTrue="1" operator="equal">
      <formula>"May be visited"</formula>
    </cfRule>
  </conditionalFormatting>
  <conditionalFormatting sqref="H31">
    <cfRule type="cellIs" dxfId="741" priority="207" stopIfTrue="1" operator="equal">
      <formula>"Don't visit"</formula>
    </cfRule>
  </conditionalFormatting>
  <conditionalFormatting sqref="I31">
    <cfRule type="cellIs" dxfId="740" priority="208" stopIfTrue="1" operator="greaterThan">
      <formula>G31-F31 + 0.0001</formula>
    </cfRule>
  </conditionalFormatting>
  <conditionalFormatting sqref="A32">
    <cfRule type="expression" dxfId="739" priority="209" stopIfTrue="1">
      <formula>ISBLANK(A32)</formula>
    </cfRule>
  </conditionalFormatting>
  <conditionalFormatting sqref="B32">
    <cfRule type="expression" dxfId="738" priority="210" stopIfTrue="1">
      <formula>ISBLANK(B32)</formula>
    </cfRule>
  </conditionalFormatting>
  <conditionalFormatting sqref="F32">
    <cfRule type="cellIs" dxfId="737" priority="211" stopIfTrue="1" operator="greaterThan">
      <formula>G32-$I$32</formula>
    </cfRule>
  </conditionalFormatting>
  <conditionalFormatting sqref="G32">
    <cfRule type="cellIs" dxfId="736" priority="212" stopIfTrue="1" operator="lessThan">
      <formula>F32+$I$32</formula>
    </cfRule>
  </conditionalFormatting>
  <conditionalFormatting sqref="H32">
    <cfRule type="cellIs" dxfId="735" priority="213" stopIfTrue="1" operator="equal">
      <formula>"May be visited"</formula>
    </cfRule>
  </conditionalFormatting>
  <conditionalFormatting sqref="H32">
    <cfRule type="cellIs" dxfId="734" priority="214" stopIfTrue="1" operator="equal">
      <formula>"Don't visit"</formula>
    </cfRule>
  </conditionalFormatting>
  <conditionalFormatting sqref="I32">
    <cfRule type="cellIs" dxfId="733" priority="215" stopIfTrue="1" operator="greaterThan">
      <formula>G32-F32 + 0.0001</formula>
    </cfRule>
  </conditionalFormatting>
  <conditionalFormatting sqref="J3:J32">
    <cfRule type="cellIs" dxfId="732" priority="216" stopIfTrue="1" operator="lessThan">
      <formula>0</formula>
    </cfRule>
  </conditionalFormatting>
  <conditionalFormatting sqref="B2:B32">
    <cfRule type="duplicateValues" dxfId="731" priority="217"/>
  </conditionalFormatting>
  <dataValidations count="32">
    <dataValidation type="decimal" operator="greaterThan" allowBlank="1" showInputMessage="1" showErrorMessage="1" error="Please enter a nonnegative value" sqref="K2" xr:uid="{1E762215-FA2E-4786-8BCE-199A56B7236E}">
      <formula1>-0.0001</formula1>
    </dataValidation>
    <dataValidation type="list" allowBlank="1" showInputMessage="1" showErrorMessage="1" sqref="H3 H4 H5 H6 H7 H8 H9 H10 H11 H12 H13 H14 H15 H16 H17 H18 H19 H20 H21 H22 H23 H24 H25 H26 H27 H28 H29 H30 H31 H32" xr:uid="{ECE406D6-FF0D-402D-AA38-370CE6ADFED9}">
      <formula1>"Must be visited, May be visited, Don't visit"</formula1>
    </dataValidation>
    <dataValidation type="decimal" operator="greaterThan" allowBlank="1" showInputMessage="1" showErrorMessage="1" error="Please enter a nonnegative value" sqref="K3" xr:uid="{477E1DEC-6938-402B-8DEA-A6E457A76991}">
      <formula1>-0.0001</formula1>
    </dataValidation>
    <dataValidation type="decimal" operator="greaterThan" allowBlank="1" showInputMessage="1" showErrorMessage="1" error="Please enter a nonnegative value" sqref="K4" xr:uid="{E9CFC946-9201-48B7-8686-40CA4586F321}">
      <formula1>-0.0001</formula1>
    </dataValidation>
    <dataValidation type="decimal" operator="greaterThan" allowBlank="1" showInputMessage="1" showErrorMessage="1" error="Please enter a nonnegative value" sqref="K5" xr:uid="{4E99BE9A-8F93-4D98-A690-88039A7C2BB6}">
      <formula1>-0.0001</formula1>
    </dataValidation>
    <dataValidation type="decimal" operator="greaterThan" allowBlank="1" showInputMessage="1" showErrorMessage="1" error="Please enter a nonnegative value" sqref="K6" xr:uid="{222CB281-CEFD-4D88-AF8D-10174B317FFD}">
      <formula1>-0.0001</formula1>
    </dataValidation>
    <dataValidation type="decimal" operator="greaterThan" allowBlank="1" showInputMessage="1" showErrorMessage="1" error="Please enter a nonnegative value" sqref="K7" xr:uid="{B128D985-6BF2-4CEF-A46E-020F225BD07E}">
      <formula1>-0.0001</formula1>
    </dataValidation>
    <dataValidation type="decimal" operator="greaterThan" allowBlank="1" showInputMessage="1" showErrorMessage="1" error="Please enter a nonnegative value" sqref="K8" xr:uid="{32B386E2-B3A0-40DB-B763-D42875F04EB3}">
      <formula1>-0.0001</formula1>
    </dataValidation>
    <dataValidation type="decimal" operator="greaterThan" allowBlank="1" showInputMessage="1" showErrorMessage="1" error="Please enter a nonnegative value" sqref="K9" xr:uid="{A00DE34F-4F83-47C5-AD89-37C8CB4A331C}">
      <formula1>-0.0001</formula1>
    </dataValidation>
    <dataValidation type="decimal" operator="greaterThan" allowBlank="1" showInputMessage="1" showErrorMessage="1" error="Please enter a nonnegative value" sqref="K10" xr:uid="{3647D3AB-5E9B-4973-ACE8-0CA8525B33B2}">
      <formula1>-0.0001</formula1>
    </dataValidation>
    <dataValidation type="decimal" operator="greaterThan" allowBlank="1" showInputMessage="1" showErrorMessage="1" error="Please enter a nonnegative value" sqref="K11" xr:uid="{8C4F0ACB-595D-4EF2-8EE7-638CBA032771}">
      <formula1>-0.0001</formula1>
    </dataValidation>
    <dataValidation type="decimal" operator="greaterThan" allowBlank="1" showInputMessage="1" showErrorMessage="1" error="Please enter a nonnegative value" sqref="K12" xr:uid="{E2B168CF-526C-481E-ACEF-74E5BA6CAC2C}">
      <formula1>-0.0001</formula1>
    </dataValidation>
    <dataValidation type="decimal" operator="greaterThan" allowBlank="1" showInputMessage="1" showErrorMessage="1" error="Please enter a nonnegative value" sqref="K13" xr:uid="{1F7978E7-423F-462E-9C3B-05D723975666}">
      <formula1>-0.0001</formula1>
    </dataValidation>
    <dataValidation type="decimal" operator="greaterThan" allowBlank="1" showInputMessage="1" showErrorMessage="1" error="Please enter a nonnegative value" sqref="K14" xr:uid="{DDEC3A39-65E5-49EA-82B0-F940E53F193D}">
      <formula1>-0.0001</formula1>
    </dataValidation>
    <dataValidation type="decimal" operator="greaterThan" allowBlank="1" showInputMessage="1" showErrorMessage="1" error="Please enter a nonnegative value" sqref="K15" xr:uid="{1F4FC167-E12B-432E-834B-1E316351AC21}">
      <formula1>-0.0001</formula1>
    </dataValidation>
    <dataValidation type="decimal" operator="greaterThan" allowBlank="1" showInputMessage="1" showErrorMessage="1" error="Please enter a nonnegative value" sqref="K16" xr:uid="{996DD1C0-D222-465E-9493-557C201341A8}">
      <formula1>-0.0001</formula1>
    </dataValidation>
    <dataValidation type="decimal" operator="greaterThan" allowBlank="1" showInputMessage="1" showErrorMessage="1" error="Please enter a nonnegative value" sqref="K17" xr:uid="{7E9F6220-B2EB-4351-A05E-CCE32324D400}">
      <formula1>-0.0001</formula1>
    </dataValidation>
    <dataValidation type="decimal" operator="greaterThan" allowBlank="1" showInputMessage="1" showErrorMessage="1" error="Please enter a nonnegative value" sqref="K18" xr:uid="{432ED710-BEA0-491C-8B6C-0171E18D1493}">
      <formula1>-0.0001</formula1>
    </dataValidation>
    <dataValidation type="decimal" operator="greaterThan" allowBlank="1" showInputMessage="1" showErrorMessage="1" error="Please enter a nonnegative value" sqref="K19" xr:uid="{B7A68520-77DA-4CE2-BF8C-0D51C4E6C29C}">
      <formula1>-0.0001</formula1>
    </dataValidation>
    <dataValidation type="decimal" operator="greaterThan" allowBlank="1" showInputMessage="1" showErrorMessage="1" error="Please enter a nonnegative value" sqref="K20" xr:uid="{3CFCF8D5-FECD-479E-A80F-88C34E988E0B}">
      <formula1>-0.0001</formula1>
    </dataValidation>
    <dataValidation type="decimal" operator="greaterThan" allowBlank="1" showInputMessage="1" showErrorMessage="1" error="Please enter a nonnegative value" sqref="K21" xr:uid="{20F4C747-3DF2-4DC4-8AD8-B5E3F6E722DE}">
      <formula1>-0.0001</formula1>
    </dataValidation>
    <dataValidation type="decimal" operator="greaterThan" allowBlank="1" showInputMessage="1" showErrorMessage="1" error="Please enter a nonnegative value" sqref="K22" xr:uid="{C9FC0212-62AD-4C33-AF70-20830951FF02}">
      <formula1>-0.0001</formula1>
    </dataValidation>
    <dataValidation type="decimal" operator="greaterThan" allowBlank="1" showInputMessage="1" showErrorMessage="1" error="Please enter a nonnegative value" sqref="K23" xr:uid="{101F0D24-1EBB-4097-9D89-28551F83E612}">
      <formula1>-0.0001</formula1>
    </dataValidation>
    <dataValidation type="decimal" operator="greaterThan" allowBlank="1" showInputMessage="1" showErrorMessage="1" error="Please enter a nonnegative value" sqref="K24" xr:uid="{85F87C61-DBF6-4BC1-9D3C-C457F9EBEFE2}">
      <formula1>-0.0001</formula1>
    </dataValidation>
    <dataValidation type="decimal" operator="greaterThan" allowBlank="1" showInputMessage="1" showErrorMessage="1" error="Please enter a nonnegative value" sqref="K25" xr:uid="{6E5815F2-AAC0-4826-A71C-30707349A22D}">
      <formula1>-0.0001</formula1>
    </dataValidation>
    <dataValidation type="decimal" operator="greaterThan" allowBlank="1" showInputMessage="1" showErrorMessage="1" error="Please enter a nonnegative value" sqref="K26" xr:uid="{8EB841D0-291E-4B2C-8E5A-A59578454ADD}">
      <formula1>-0.0001</formula1>
    </dataValidation>
    <dataValidation type="decimal" operator="greaterThan" allowBlank="1" showInputMessage="1" showErrorMessage="1" error="Please enter a nonnegative value" sqref="K27" xr:uid="{82836000-DCD6-4858-985B-4FE395888AD3}">
      <formula1>-0.0001</formula1>
    </dataValidation>
    <dataValidation type="decimal" operator="greaterThan" allowBlank="1" showInputMessage="1" showErrorMessage="1" error="Please enter a nonnegative value" sqref="K28" xr:uid="{EBB63EC4-19A2-4BED-95DB-319A17254C69}">
      <formula1>-0.0001</formula1>
    </dataValidation>
    <dataValidation type="decimal" operator="greaterThan" allowBlank="1" showInputMessage="1" showErrorMessage="1" error="Please enter a nonnegative value" sqref="K29" xr:uid="{963A71F4-1F1B-49C0-B7E9-D4DE587EE879}">
      <formula1>-0.0001</formula1>
    </dataValidation>
    <dataValidation type="decimal" operator="greaterThan" allowBlank="1" showInputMessage="1" showErrorMessage="1" error="Please enter a nonnegative value" sqref="K30" xr:uid="{206A47D7-6F30-4F07-A157-161B34F9A994}">
      <formula1>-0.0001</formula1>
    </dataValidation>
    <dataValidation type="decimal" operator="greaterThan" allowBlank="1" showInputMessage="1" showErrorMessage="1" error="Please enter a nonnegative value" sqref="K31" xr:uid="{F3C2E155-8164-4019-BCC1-B275BFC2E247}">
      <formula1>-0.0001</formula1>
    </dataValidation>
    <dataValidation type="decimal" operator="greaterThan" allowBlank="1" showInputMessage="1" showErrorMessage="1" error="Please enter a nonnegative value" sqref="K32" xr:uid="{470916E0-ED39-4077-8CA4-FBE9120064F2}">
      <formula1>-0.0001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01E96-5AC9-4A66-9545-8B343091F4B6}">
  <dimension ref="A1:F962"/>
  <sheetViews>
    <sheetView workbookViewId="0"/>
  </sheetViews>
  <sheetFormatPr defaultRowHeight="15" x14ac:dyDescent="0.25"/>
  <cols>
    <col min="1" max="2" width="12" bestFit="1" customWidth="1"/>
    <col min="3" max="3" width="8.5703125" bestFit="1" customWidth="1"/>
    <col min="4" max="5" width="8.7109375" bestFit="1" customWidth="1"/>
    <col min="6" max="6" width="23.7109375" customWidth="1"/>
  </cols>
  <sheetData>
    <row r="1" spans="1:6" x14ac:dyDescent="0.25">
      <c r="A1" s="10" t="s">
        <v>88</v>
      </c>
      <c r="B1" s="10" t="s">
        <v>89</v>
      </c>
      <c r="C1" s="10" t="s">
        <v>90</v>
      </c>
      <c r="D1" s="10" t="s">
        <v>91</v>
      </c>
      <c r="E1" s="10" t="s">
        <v>92</v>
      </c>
      <c r="F1" s="10" t="s">
        <v>130</v>
      </c>
    </row>
    <row r="2" spans="1:6" x14ac:dyDescent="0.25">
      <c r="A2" s="13" t="s">
        <v>55</v>
      </c>
      <c r="B2" s="13" t="s">
        <v>55</v>
      </c>
      <c r="C2" s="49">
        <v>0</v>
      </c>
      <c r="D2" s="50">
        <v>0</v>
      </c>
    </row>
    <row r="3" spans="1:6" x14ac:dyDescent="0.25">
      <c r="A3" s="17" t="s">
        <v>55</v>
      </c>
      <c r="B3" s="17" t="s">
        <v>57</v>
      </c>
      <c r="C3" s="51">
        <v>7.0391822486700326E-2</v>
      </c>
      <c r="D3" s="19">
        <v>6.9444444444444447E-4</v>
      </c>
    </row>
    <row r="4" spans="1:6" x14ac:dyDescent="0.25">
      <c r="A4" s="17" t="s">
        <v>55</v>
      </c>
      <c r="B4" s="17" t="s">
        <v>59</v>
      </c>
      <c r="C4" s="53">
        <v>7.8321738042509206E-2</v>
      </c>
      <c r="D4" s="22">
        <v>6.9444444444444447E-4</v>
      </c>
    </row>
    <row r="5" spans="1:6" x14ac:dyDescent="0.25">
      <c r="A5" s="17" t="s">
        <v>55</v>
      </c>
      <c r="B5" s="17" t="s">
        <v>60</v>
      </c>
      <c r="C5" s="51">
        <v>5.4974701252301673E-2</v>
      </c>
      <c r="D5" s="19">
        <v>6.9444444444444447E-4</v>
      </c>
    </row>
    <row r="6" spans="1:6" x14ac:dyDescent="0.25">
      <c r="A6" s="17" t="s">
        <v>55</v>
      </c>
      <c r="B6" s="17" t="s">
        <v>61</v>
      </c>
      <c r="C6" s="53">
        <v>8.0957615935742869E-2</v>
      </c>
      <c r="D6" s="22">
        <v>6.9444444444444447E-4</v>
      </c>
    </row>
    <row r="7" spans="1:6" x14ac:dyDescent="0.25">
      <c r="A7" s="17" t="s">
        <v>55</v>
      </c>
      <c r="B7" s="17" t="s">
        <v>62</v>
      </c>
      <c r="C7" s="51">
        <v>0.10532689117694036</v>
      </c>
      <c r="D7" s="19">
        <v>6.9444444444444447E-4</v>
      </c>
    </row>
    <row r="8" spans="1:6" x14ac:dyDescent="0.25">
      <c r="A8" s="17" t="s">
        <v>55</v>
      </c>
      <c r="B8" s="17" t="s">
        <v>63</v>
      </c>
      <c r="C8" s="53">
        <v>2.7443130087508025E-2</v>
      </c>
      <c r="D8" s="22">
        <v>6.9444444444444447E-4</v>
      </c>
    </row>
    <row r="9" spans="1:6" x14ac:dyDescent="0.25">
      <c r="A9" s="17" t="s">
        <v>55</v>
      </c>
      <c r="B9" s="17" t="s">
        <v>64</v>
      </c>
      <c r="C9" s="51">
        <v>0.11272853999320188</v>
      </c>
      <c r="D9" s="19">
        <v>6.9444444444444447E-4</v>
      </c>
    </row>
    <row r="10" spans="1:6" x14ac:dyDescent="0.25">
      <c r="A10" s="17" t="s">
        <v>55</v>
      </c>
      <c r="B10" s="17" t="s">
        <v>65</v>
      </c>
      <c r="C10" s="53">
        <v>7.0160480678223294E-2</v>
      </c>
      <c r="D10" s="22">
        <v>6.9444444444444447E-4</v>
      </c>
    </row>
    <row r="11" spans="1:6" x14ac:dyDescent="0.25">
      <c r="A11" s="17" t="s">
        <v>55</v>
      </c>
      <c r="B11" s="17" t="s">
        <v>66</v>
      </c>
      <c r="C11" s="51">
        <v>9.9535606317533151E-2</v>
      </c>
      <c r="D11" s="19">
        <v>6.9444444444444447E-4</v>
      </c>
    </row>
    <row r="12" spans="1:6" x14ac:dyDescent="0.25">
      <c r="A12" s="17" t="s">
        <v>55</v>
      </c>
      <c r="B12" s="17" t="s">
        <v>67</v>
      </c>
      <c r="C12" s="53">
        <v>0.11434936766331112</v>
      </c>
      <c r="D12" s="22">
        <v>6.9444444444444447E-4</v>
      </c>
    </row>
    <row r="13" spans="1:6" x14ac:dyDescent="0.25">
      <c r="A13" s="17" t="s">
        <v>55</v>
      </c>
      <c r="B13" s="17" t="s">
        <v>68</v>
      </c>
      <c r="C13" s="51">
        <v>0.10215311160214088</v>
      </c>
      <c r="D13" s="19">
        <v>6.9444444444444447E-4</v>
      </c>
    </row>
    <row r="14" spans="1:6" x14ac:dyDescent="0.25">
      <c r="A14" s="17" t="s">
        <v>55</v>
      </c>
      <c r="B14" s="17" t="s">
        <v>69</v>
      </c>
      <c r="C14" s="53">
        <v>0.10926667570672825</v>
      </c>
      <c r="D14" s="22">
        <v>6.9444444444444447E-4</v>
      </c>
    </row>
    <row r="15" spans="1:6" x14ac:dyDescent="0.25">
      <c r="A15" s="17" t="s">
        <v>55</v>
      </c>
      <c r="B15" s="17" t="s">
        <v>70</v>
      </c>
      <c r="C15" s="51">
        <v>0.21260641977606906</v>
      </c>
      <c r="D15" s="19">
        <v>6.9444444444444447E-4</v>
      </c>
    </row>
    <row r="16" spans="1:6" x14ac:dyDescent="0.25">
      <c r="A16" s="17" t="s">
        <v>55</v>
      </c>
      <c r="B16" s="17" t="s">
        <v>71</v>
      </c>
      <c r="C16" s="53">
        <v>0.14051757505023674</v>
      </c>
      <c r="D16" s="22">
        <v>6.9444444444444447E-4</v>
      </c>
    </row>
    <row r="17" spans="1:4" x14ac:dyDescent="0.25">
      <c r="A17" s="17" t="s">
        <v>55</v>
      </c>
      <c r="B17" s="17" t="s">
        <v>72</v>
      </c>
      <c r="C17" s="51">
        <v>0.22151037486537239</v>
      </c>
      <c r="D17" s="19">
        <v>6.9444444444444447E-4</v>
      </c>
    </row>
    <row r="18" spans="1:4" x14ac:dyDescent="0.25">
      <c r="A18" s="17" t="s">
        <v>55</v>
      </c>
      <c r="B18" s="17" t="s">
        <v>73</v>
      </c>
      <c r="C18" s="53">
        <v>0.13967325450850976</v>
      </c>
      <c r="D18" s="22">
        <v>6.9444444444444447E-4</v>
      </c>
    </row>
    <row r="19" spans="1:4" x14ac:dyDescent="0.25">
      <c r="A19" s="17" t="s">
        <v>55</v>
      </c>
      <c r="B19" s="17" t="s">
        <v>74</v>
      </c>
      <c r="C19" s="51">
        <v>0.12716280796679041</v>
      </c>
      <c r="D19" s="19">
        <v>6.9444444444444447E-4</v>
      </c>
    </row>
    <row r="20" spans="1:4" x14ac:dyDescent="0.25">
      <c r="A20" s="17" t="s">
        <v>55</v>
      </c>
      <c r="B20" s="17" t="s">
        <v>75</v>
      </c>
      <c r="C20" s="53">
        <v>0.26250402513104271</v>
      </c>
      <c r="D20" s="22">
        <v>6.9444444444444447E-4</v>
      </c>
    </row>
    <row r="21" spans="1:4" x14ac:dyDescent="0.25">
      <c r="A21" s="17" t="s">
        <v>55</v>
      </c>
      <c r="B21" s="17" t="s">
        <v>76</v>
      </c>
      <c r="C21" s="51">
        <v>0.25664486836287381</v>
      </c>
      <c r="D21" s="19">
        <v>6.9444444444444447E-4</v>
      </c>
    </row>
    <row r="22" spans="1:4" x14ac:dyDescent="0.25">
      <c r="A22" s="17" t="s">
        <v>55</v>
      </c>
      <c r="B22" s="17" t="s">
        <v>77</v>
      </c>
      <c r="C22" s="53">
        <v>0.15527095313998529</v>
      </c>
      <c r="D22" s="22">
        <v>6.9444444444444447E-4</v>
      </c>
    </row>
    <row r="23" spans="1:4" x14ac:dyDescent="0.25">
      <c r="A23" s="17" t="s">
        <v>55</v>
      </c>
      <c r="B23" s="17" t="s">
        <v>78</v>
      </c>
      <c r="C23" s="51">
        <v>0.14720584625958208</v>
      </c>
      <c r="D23" s="19">
        <v>6.9444444444444447E-4</v>
      </c>
    </row>
    <row r="24" spans="1:4" x14ac:dyDescent="0.25">
      <c r="A24" s="17" t="s">
        <v>55</v>
      </c>
      <c r="B24" s="17" t="s">
        <v>79</v>
      </c>
      <c r="C24" s="53">
        <v>0.22950062400786117</v>
      </c>
      <c r="D24" s="22">
        <v>6.9444444444444447E-4</v>
      </c>
    </row>
    <row r="25" spans="1:4" x14ac:dyDescent="0.25">
      <c r="A25" s="17" t="s">
        <v>55</v>
      </c>
      <c r="B25" s="17" t="s">
        <v>80</v>
      </c>
      <c r="C25" s="51">
        <v>0.23182318206123909</v>
      </c>
      <c r="D25" s="19">
        <v>6.9444444444444447E-4</v>
      </c>
    </row>
    <row r="26" spans="1:4" x14ac:dyDescent="0.25">
      <c r="A26" s="17" t="s">
        <v>55</v>
      </c>
      <c r="B26" s="17" t="s">
        <v>81</v>
      </c>
      <c r="C26" s="53">
        <v>0.14289001302050103</v>
      </c>
      <c r="D26" s="22">
        <v>6.9444444444444447E-4</v>
      </c>
    </row>
    <row r="27" spans="1:4" x14ac:dyDescent="0.25">
      <c r="A27" s="17" t="s">
        <v>55</v>
      </c>
      <c r="B27" s="17" t="s">
        <v>82</v>
      </c>
      <c r="C27" s="51">
        <v>0.17759128152305254</v>
      </c>
      <c r="D27" s="19">
        <v>6.9444444444444447E-4</v>
      </c>
    </row>
    <row r="28" spans="1:4" x14ac:dyDescent="0.25">
      <c r="A28" s="17" t="s">
        <v>55</v>
      </c>
      <c r="B28" s="17" t="s">
        <v>83</v>
      </c>
      <c r="C28" s="53">
        <v>0.15108849075955372</v>
      </c>
      <c r="D28" s="22">
        <v>6.9444444444444447E-4</v>
      </c>
    </row>
    <row r="29" spans="1:4" x14ac:dyDescent="0.25">
      <c r="A29" s="17" t="s">
        <v>55</v>
      </c>
      <c r="B29" s="17" t="s">
        <v>84</v>
      </c>
      <c r="C29" s="51">
        <v>0.15567005925353475</v>
      </c>
      <c r="D29" s="19">
        <v>6.9444444444444447E-4</v>
      </c>
    </row>
    <row r="30" spans="1:4" x14ac:dyDescent="0.25">
      <c r="A30" s="17" t="s">
        <v>55</v>
      </c>
      <c r="B30" s="17" t="s">
        <v>85</v>
      </c>
      <c r="C30" s="53">
        <v>0.20010899780119371</v>
      </c>
      <c r="D30" s="22">
        <v>6.9444444444444447E-4</v>
      </c>
    </row>
    <row r="31" spans="1:4" x14ac:dyDescent="0.25">
      <c r="A31" s="17" t="s">
        <v>55</v>
      </c>
      <c r="B31" s="17" t="s">
        <v>86</v>
      </c>
      <c r="C31" s="51">
        <v>0.18884774901490964</v>
      </c>
      <c r="D31" s="19">
        <v>6.9444444444444447E-4</v>
      </c>
    </row>
    <row r="32" spans="1:4" x14ac:dyDescent="0.25">
      <c r="A32" s="17" t="s">
        <v>55</v>
      </c>
      <c r="B32" s="17" t="s">
        <v>87</v>
      </c>
      <c r="C32" s="53">
        <v>0.13295149548989446</v>
      </c>
      <c r="D32" s="22">
        <v>6.9444444444444447E-4</v>
      </c>
    </row>
    <row r="33" spans="1:4" x14ac:dyDescent="0.25">
      <c r="A33" s="17" t="s">
        <v>57</v>
      </c>
      <c r="B33" s="17" t="s">
        <v>55</v>
      </c>
      <c r="C33" s="51">
        <v>7.0391822486700326E-2</v>
      </c>
      <c r="D33" s="19">
        <v>6.9444444444444447E-4</v>
      </c>
    </row>
    <row r="34" spans="1:4" x14ac:dyDescent="0.25">
      <c r="A34" s="17" t="s">
        <v>57</v>
      </c>
      <c r="B34" s="17" t="s">
        <v>57</v>
      </c>
      <c r="C34" s="53">
        <v>0</v>
      </c>
      <c r="D34" s="22">
        <v>0</v>
      </c>
    </row>
    <row r="35" spans="1:4" x14ac:dyDescent="0.25">
      <c r="A35" s="17" t="s">
        <v>57</v>
      </c>
      <c r="B35" s="17" t="s">
        <v>59</v>
      </c>
      <c r="C35" s="51">
        <v>4.8846949270137802E-2</v>
      </c>
      <c r="D35" s="19">
        <v>6.9444444444444447E-4</v>
      </c>
    </row>
    <row r="36" spans="1:4" x14ac:dyDescent="0.25">
      <c r="A36" s="17" t="s">
        <v>57</v>
      </c>
      <c r="B36" s="17" t="s">
        <v>60</v>
      </c>
      <c r="C36" s="53">
        <v>4.4806617964085166E-2</v>
      </c>
      <c r="D36" s="22">
        <v>6.9444444444444447E-4</v>
      </c>
    </row>
    <row r="37" spans="1:4" x14ac:dyDescent="0.25">
      <c r="A37" s="17" t="s">
        <v>57</v>
      </c>
      <c r="B37" s="17" t="s">
        <v>61</v>
      </c>
      <c r="C37" s="51">
        <v>1.2428595133803295E-2</v>
      </c>
      <c r="D37" s="19">
        <v>6.9444444444444447E-4</v>
      </c>
    </row>
    <row r="38" spans="1:4" x14ac:dyDescent="0.25">
      <c r="A38" s="17" t="s">
        <v>57</v>
      </c>
      <c r="B38" s="17" t="s">
        <v>62</v>
      </c>
      <c r="C38" s="53">
        <v>4.8756266017812744E-2</v>
      </c>
      <c r="D38" s="22">
        <v>6.9444444444444447E-4</v>
      </c>
    </row>
    <row r="39" spans="1:4" x14ac:dyDescent="0.25">
      <c r="A39" s="17" t="s">
        <v>57</v>
      </c>
      <c r="B39" s="17" t="s">
        <v>63</v>
      </c>
      <c r="C39" s="51">
        <v>4.4167710309679586E-2</v>
      </c>
      <c r="D39" s="19">
        <v>6.9444444444444447E-4</v>
      </c>
    </row>
    <row r="40" spans="1:4" x14ac:dyDescent="0.25">
      <c r="A40" s="17" t="s">
        <v>57</v>
      </c>
      <c r="B40" s="17" t="s">
        <v>64</v>
      </c>
      <c r="C40" s="53">
        <v>4.2656194977987449E-2</v>
      </c>
      <c r="D40" s="22">
        <v>6.9444444444444447E-4</v>
      </c>
    </row>
    <row r="41" spans="1:4" x14ac:dyDescent="0.25">
      <c r="A41" s="17" t="s">
        <v>57</v>
      </c>
      <c r="B41" s="17" t="s">
        <v>65</v>
      </c>
      <c r="C41" s="51">
        <v>1.7552905286585256E-2</v>
      </c>
      <c r="D41" s="19">
        <v>6.9444444444444447E-4</v>
      </c>
    </row>
    <row r="42" spans="1:4" x14ac:dyDescent="0.25">
      <c r="A42" s="17" t="s">
        <v>57</v>
      </c>
      <c r="B42" s="17" t="s">
        <v>66</v>
      </c>
      <c r="C42" s="53">
        <v>2.9362944402768459E-2</v>
      </c>
      <c r="D42" s="22">
        <v>6.9444444444444447E-4</v>
      </c>
    </row>
    <row r="43" spans="1:4" x14ac:dyDescent="0.25">
      <c r="A43" s="17" t="s">
        <v>57</v>
      </c>
      <c r="B43" s="17" t="s">
        <v>67</v>
      </c>
      <c r="C43" s="51">
        <v>6.8901362221655785E-2</v>
      </c>
      <c r="D43" s="19">
        <v>6.9444444444444447E-4</v>
      </c>
    </row>
    <row r="44" spans="1:4" x14ac:dyDescent="0.25">
      <c r="A44" s="17" t="s">
        <v>57</v>
      </c>
      <c r="B44" s="17" t="s">
        <v>68</v>
      </c>
      <c r="C44" s="53">
        <v>4.4625732946367173E-2</v>
      </c>
      <c r="D44" s="22">
        <v>6.9444444444444447E-4</v>
      </c>
    </row>
    <row r="45" spans="1:4" x14ac:dyDescent="0.25">
      <c r="A45" s="17" t="s">
        <v>57</v>
      </c>
      <c r="B45" s="17" t="s">
        <v>69</v>
      </c>
      <c r="C45" s="51">
        <v>4.2952475889061474E-2</v>
      </c>
      <c r="D45" s="19">
        <v>6.9444444444444447E-4</v>
      </c>
    </row>
    <row r="46" spans="1:4" x14ac:dyDescent="0.25">
      <c r="A46" s="17" t="s">
        <v>57</v>
      </c>
      <c r="B46" s="17" t="s">
        <v>70</v>
      </c>
      <c r="C46" s="53">
        <v>0.14294097986581941</v>
      </c>
      <c r="D46" s="22">
        <v>6.9444444444444447E-4</v>
      </c>
    </row>
    <row r="47" spans="1:4" x14ac:dyDescent="0.25">
      <c r="A47" s="17" t="s">
        <v>57</v>
      </c>
      <c r="B47" s="17" t="s">
        <v>71</v>
      </c>
      <c r="C47" s="51">
        <v>7.4270803933984178E-2</v>
      </c>
      <c r="D47" s="19">
        <v>6.9444444444444447E-4</v>
      </c>
    </row>
    <row r="48" spans="1:4" x14ac:dyDescent="0.25">
      <c r="A48" s="17" t="s">
        <v>57</v>
      </c>
      <c r="B48" s="17" t="s">
        <v>72</v>
      </c>
      <c r="C48" s="53">
        <v>0.15475157010512247</v>
      </c>
      <c r="D48" s="22">
        <v>6.9444444444444447E-4</v>
      </c>
    </row>
    <row r="49" spans="1:4" x14ac:dyDescent="0.25">
      <c r="A49" s="17" t="s">
        <v>57</v>
      </c>
      <c r="B49" s="17" t="s">
        <v>73</v>
      </c>
      <c r="C49" s="51">
        <v>7.0802813517545748E-2</v>
      </c>
      <c r="D49" s="19">
        <v>6.9444444444444447E-4</v>
      </c>
    </row>
    <row r="50" spans="1:4" x14ac:dyDescent="0.25">
      <c r="A50" s="17" t="s">
        <v>57</v>
      </c>
      <c r="B50" s="17" t="s">
        <v>74</v>
      </c>
      <c r="C50" s="53">
        <v>5.8289481769872538E-2</v>
      </c>
      <c r="D50" s="22">
        <v>6.9444444444444447E-4</v>
      </c>
    </row>
    <row r="51" spans="1:4" x14ac:dyDescent="0.25">
      <c r="A51" s="17" t="s">
        <v>57</v>
      </c>
      <c r="B51" s="17" t="s">
        <v>75</v>
      </c>
      <c r="C51" s="51">
        <v>0.19531659158658765</v>
      </c>
      <c r="D51" s="19">
        <v>6.9444444444444447E-4</v>
      </c>
    </row>
    <row r="52" spans="1:4" x14ac:dyDescent="0.25">
      <c r="A52" s="17" t="s">
        <v>57</v>
      </c>
      <c r="B52" s="17" t="s">
        <v>76</v>
      </c>
      <c r="C52" s="53">
        <v>0.18904790863693841</v>
      </c>
      <c r="D52" s="22">
        <v>6.9444444444444447E-4</v>
      </c>
    </row>
    <row r="53" spans="1:4" x14ac:dyDescent="0.25">
      <c r="A53" s="17" t="s">
        <v>57</v>
      </c>
      <c r="B53" s="17" t="s">
        <v>77</v>
      </c>
      <c r="C53" s="51">
        <v>8.8134743569156085E-2</v>
      </c>
      <c r="D53" s="19">
        <v>6.9444444444444447E-4</v>
      </c>
    </row>
    <row r="54" spans="1:4" x14ac:dyDescent="0.25">
      <c r="A54" s="17" t="s">
        <v>57</v>
      </c>
      <c r="B54" s="17" t="s">
        <v>78</v>
      </c>
      <c r="C54" s="53">
        <v>8.6352892204031834E-2</v>
      </c>
      <c r="D54" s="22">
        <v>6.9444444444444447E-4</v>
      </c>
    </row>
    <row r="55" spans="1:4" x14ac:dyDescent="0.25">
      <c r="A55" s="17" t="s">
        <v>57</v>
      </c>
      <c r="B55" s="17" t="s">
        <v>79</v>
      </c>
      <c r="C55" s="51">
        <v>0.16161934316473553</v>
      </c>
      <c r="D55" s="19">
        <v>6.9444444444444447E-4</v>
      </c>
    </row>
    <row r="56" spans="1:4" x14ac:dyDescent="0.25">
      <c r="A56" s="17" t="s">
        <v>57</v>
      </c>
      <c r="B56" s="17" t="s">
        <v>80</v>
      </c>
      <c r="C56" s="53">
        <v>0.16289970549390523</v>
      </c>
      <c r="D56" s="22">
        <v>6.9444444444444447E-4</v>
      </c>
    </row>
    <row r="57" spans="1:4" x14ac:dyDescent="0.25">
      <c r="A57" s="17" t="s">
        <v>57</v>
      </c>
      <c r="B57" s="17" t="s">
        <v>81</v>
      </c>
      <c r="C57" s="51">
        <v>0.10628487310054684</v>
      </c>
      <c r="D57" s="19">
        <v>6.9444444444444447E-4</v>
      </c>
    </row>
    <row r="58" spans="1:4" x14ac:dyDescent="0.25">
      <c r="A58" s="17" t="s">
        <v>57</v>
      </c>
      <c r="B58" s="17" t="s">
        <v>82</v>
      </c>
      <c r="C58" s="53">
        <v>0.10890414363099879</v>
      </c>
      <c r="D58" s="22">
        <v>6.9444444444444447E-4</v>
      </c>
    </row>
    <row r="59" spans="1:4" x14ac:dyDescent="0.25">
      <c r="A59" s="17" t="s">
        <v>57</v>
      </c>
      <c r="B59" s="17" t="s">
        <v>83</v>
      </c>
      <c r="C59" s="51">
        <v>9.0963845108925925E-2</v>
      </c>
      <c r="D59" s="19">
        <v>6.9444444444444447E-4</v>
      </c>
    </row>
    <row r="60" spans="1:4" x14ac:dyDescent="0.25">
      <c r="A60" s="17" t="s">
        <v>57</v>
      </c>
      <c r="B60" s="17" t="s">
        <v>84</v>
      </c>
      <c r="C60" s="53">
        <v>8.5346225019039518E-2</v>
      </c>
      <c r="D60" s="22">
        <v>6.9444444444444447E-4</v>
      </c>
    </row>
    <row r="61" spans="1:4" x14ac:dyDescent="0.25">
      <c r="A61" s="17" t="s">
        <v>57</v>
      </c>
      <c r="B61" s="17" t="s">
        <v>85</v>
      </c>
      <c r="C61" s="51">
        <v>0.13104476879295926</v>
      </c>
      <c r="D61" s="19">
        <v>6.9444444444444447E-4</v>
      </c>
    </row>
    <row r="62" spans="1:4" x14ac:dyDescent="0.25">
      <c r="A62" s="17" t="s">
        <v>57</v>
      </c>
      <c r="B62" s="17" t="s">
        <v>86</v>
      </c>
      <c r="C62" s="53">
        <v>0.12019619628341099</v>
      </c>
      <c r="D62" s="22">
        <v>6.9444444444444447E-4</v>
      </c>
    </row>
    <row r="63" spans="1:4" x14ac:dyDescent="0.25">
      <c r="A63" s="17" t="s">
        <v>57</v>
      </c>
      <c r="B63" s="17" t="s">
        <v>87</v>
      </c>
      <c r="C63" s="51">
        <v>6.589757109332843E-2</v>
      </c>
      <c r="D63" s="19">
        <v>6.9444444444444447E-4</v>
      </c>
    </row>
    <row r="64" spans="1:4" x14ac:dyDescent="0.25">
      <c r="A64" s="17" t="s">
        <v>59</v>
      </c>
      <c r="B64" s="17" t="s">
        <v>55</v>
      </c>
      <c r="C64" s="53">
        <v>7.8321738042509206E-2</v>
      </c>
      <c r="D64" s="22">
        <v>6.9444444444444447E-4</v>
      </c>
    </row>
    <row r="65" spans="1:4" x14ac:dyDescent="0.25">
      <c r="A65" s="17" t="s">
        <v>59</v>
      </c>
      <c r="B65" s="17" t="s">
        <v>57</v>
      </c>
      <c r="C65" s="51">
        <v>4.8846949270137802E-2</v>
      </c>
      <c r="D65" s="19">
        <v>6.9444444444444447E-4</v>
      </c>
    </row>
    <row r="66" spans="1:4" x14ac:dyDescent="0.25">
      <c r="A66" s="17" t="s">
        <v>59</v>
      </c>
      <c r="B66" s="17" t="s">
        <v>59</v>
      </c>
      <c r="C66" s="53">
        <v>0</v>
      </c>
      <c r="D66" s="22">
        <v>0</v>
      </c>
    </row>
    <row r="67" spans="1:4" x14ac:dyDescent="0.25">
      <c r="A67" s="17" t="s">
        <v>59</v>
      </c>
      <c r="B67" s="17" t="s">
        <v>60</v>
      </c>
      <c r="C67" s="51">
        <v>2.3423325976041721E-2</v>
      </c>
      <c r="D67" s="19">
        <v>6.9444444444444447E-4</v>
      </c>
    </row>
    <row r="68" spans="1:4" x14ac:dyDescent="0.25">
      <c r="A68" s="17" t="s">
        <v>59</v>
      </c>
      <c r="B68" s="17" t="s">
        <v>61</v>
      </c>
      <c r="C68" s="53">
        <v>4.5188398378341051E-2</v>
      </c>
      <c r="D68" s="22">
        <v>6.9444444444444447E-4</v>
      </c>
    </row>
    <row r="69" spans="1:4" x14ac:dyDescent="0.25">
      <c r="A69" s="17" t="s">
        <v>59</v>
      </c>
      <c r="B69" s="17" t="s">
        <v>62</v>
      </c>
      <c r="C69" s="51">
        <v>3.6038660976788192E-2</v>
      </c>
      <c r="D69" s="19">
        <v>6.9444444444444447E-4</v>
      </c>
    </row>
    <row r="70" spans="1:4" x14ac:dyDescent="0.25">
      <c r="A70" s="17" t="s">
        <v>59</v>
      </c>
      <c r="B70" s="17" t="s">
        <v>63</v>
      </c>
      <c r="C70" s="53">
        <v>6.4824281631191638E-2</v>
      </c>
      <c r="D70" s="22">
        <v>6.9444444444444447E-4</v>
      </c>
    </row>
    <row r="71" spans="1:4" x14ac:dyDescent="0.25">
      <c r="A71" s="17" t="s">
        <v>59</v>
      </c>
      <c r="B71" s="17" t="s">
        <v>64</v>
      </c>
      <c r="C71" s="51">
        <v>6.5529389810981165E-2</v>
      </c>
      <c r="D71" s="19">
        <v>6.9444444444444447E-4</v>
      </c>
    </row>
    <row r="72" spans="1:4" x14ac:dyDescent="0.25">
      <c r="A72" s="17" t="s">
        <v>59</v>
      </c>
      <c r="B72" s="17" t="s">
        <v>65</v>
      </c>
      <c r="C72" s="53">
        <v>3.1313935060926543E-2</v>
      </c>
      <c r="D72" s="22">
        <v>6.9444444444444447E-4</v>
      </c>
    </row>
    <row r="73" spans="1:4" x14ac:dyDescent="0.25">
      <c r="A73" s="17" t="s">
        <v>59</v>
      </c>
      <c r="B73" s="17" t="s">
        <v>66</v>
      </c>
      <c r="C73" s="51">
        <v>6.4464724501074752E-2</v>
      </c>
      <c r="D73" s="19">
        <v>6.9444444444444447E-4</v>
      </c>
    </row>
    <row r="74" spans="1:4" x14ac:dyDescent="0.25">
      <c r="A74" s="17" t="s">
        <v>59</v>
      </c>
      <c r="B74" s="17" t="s">
        <v>67</v>
      </c>
      <c r="C74" s="53">
        <v>3.6483282815557176E-2</v>
      </c>
      <c r="D74" s="22">
        <v>6.9444444444444447E-4</v>
      </c>
    </row>
    <row r="75" spans="1:4" x14ac:dyDescent="0.25">
      <c r="A75" s="17" t="s">
        <v>59</v>
      </c>
      <c r="B75" s="17" t="s">
        <v>68</v>
      </c>
      <c r="C75" s="51">
        <v>9.1497140611058556E-2</v>
      </c>
      <c r="D75" s="19">
        <v>6.9444444444444447E-4</v>
      </c>
    </row>
    <row r="76" spans="1:4" x14ac:dyDescent="0.25">
      <c r="A76" s="17" t="s">
        <v>59</v>
      </c>
      <c r="B76" s="17" t="s">
        <v>69</v>
      </c>
      <c r="C76" s="53">
        <v>8.3866992851775887E-2</v>
      </c>
      <c r="D76" s="22">
        <v>6.9444444444444447E-4</v>
      </c>
    </row>
    <row r="77" spans="1:4" x14ac:dyDescent="0.25">
      <c r="A77" s="17" t="s">
        <v>59</v>
      </c>
      <c r="B77" s="17" t="s">
        <v>70</v>
      </c>
      <c r="C77" s="51">
        <v>0.1662299177043618</v>
      </c>
      <c r="D77" s="19">
        <v>6.9444444444444447E-4</v>
      </c>
    </row>
    <row r="78" spans="1:4" x14ac:dyDescent="0.25">
      <c r="A78" s="17" t="s">
        <v>59</v>
      </c>
      <c r="B78" s="17" t="s">
        <v>71</v>
      </c>
      <c r="C78" s="53">
        <v>0.11104371557183579</v>
      </c>
      <c r="D78" s="22">
        <v>6.9444444444444447E-4</v>
      </c>
    </row>
    <row r="79" spans="1:4" x14ac:dyDescent="0.25">
      <c r="A79" s="17" t="s">
        <v>59</v>
      </c>
      <c r="B79" s="17" t="s">
        <v>72</v>
      </c>
      <c r="C79" s="51">
        <v>0.18554222848990115</v>
      </c>
      <c r="D79" s="19">
        <v>6.9444444444444447E-4</v>
      </c>
    </row>
    <row r="80" spans="1:4" x14ac:dyDescent="0.25">
      <c r="A80" s="17" t="s">
        <v>59</v>
      </c>
      <c r="B80" s="17" t="s">
        <v>73</v>
      </c>
      <c r="C80" s="53">
        <v>0.10263167038004908</v>
      </c>
      <c r="D80" s="22">
        <v>6.9444444444444447E-4</v>
      </c>
    </row>
    <row r="81" spans="1:4" x14ac:dyDescent="0.25">
      <c r="A81" s="17" t="s">
        <v>59</v>
      </c>
      <c r="B81" s="17" t="s">
        <v>74</v>
      </c>
      <c r="C81" s="51">
        <v>9.1870388809450518E-2</v>
      </c>
      <c r="D81" s="19">
        <v>6.9444444444444447E-4</v>
      </c>
    </row>
    <row r="82" spans="1:4" x14ac:dyDescent="0.25">
      <c r="A82" s="17" t="s">
        <v>59</v>
      </c>
      <c r="B82" s="17" t="s">
        <v>75</v>
      </c>
      <c r="C82" s="53">
        <v>0.22397714240520009</v>
      </c>
      <c r="D82" s="22">
        <v>6.9444444444444447E-4</v>
      </c>
    </row>
    <row r="83" spans="1:4" x14ac:dyDescent="0.25">
      <c r="A83" s="17" t="s">
        <v>59</v>
      </c>
      <c r="B83" s="17" t="s">
        <v>76</v>
      </c>
      <c r="C83" s="51">
        <v>0.21701331709597393</v>
      </c>
      <c r="D83" s="19">
        <v>6.9444444444444447E-4</v>
      </c>
    </row>
    <row r="84" spans="1:4" x14ac:dyDescent="0.25">
      <c r="A84" s="17" t="s">
        <v>59</v>
      </c>
      <c r="B84" s="17" t="s">
        <v>77</v>
      </c>
      <c r="C84" s="53">
        <v>0.12210032051145324</v>
      </c>
      <c r="D84" s="22">
        <v>6.9444444444444447E-4</v>
      </c>
    </row>
    <row r="85" spans="1:4" x14ac:dyDescent="0.25">
      <c r="A85" s="17" t="s">
        <v>59</v>
      </c>
      <c r="B85" s="17" t="s">
        <v>78</v>
      </c>
      <c r="C85" s="51">
        <v>0.12787975912160635</v>
      </c>
      <c r="D85" s="19">
        <v>6.9444444444444447E-4</v>
      </c>
    </row>
    <row r="86" spans="1:4" x14ac:dyDescent="0.25">
      <c r="A86" s="17" t="s">
        <v>59</v>
      </c>
      <c r="B86" s="17" t="s">
        <v>79</v>
      </c>
      <c r="C86" s="53">
        <v>0.18982487489788702</v>
      </c>
      <c r="D86" s="22">
        <v>6.9444444444444447E-4</v>
      </c>
    </row>
    <row r="87" spans="1:4" x14ac:dyDescent="0.25">
      <c r="A87" s="17" t="s">
        <v>59</v>
      </c>
      <c r="B87" s="17" t="s">
        <v>80</v>
      </c>
      <c r="C87" s="51">
        <v>0.1882200566916267</v>
      </c>
      <c r="D87" s="19">
        <v>6.9444444444444447E-4</v>
      </c>
    </row>
    <row r="88" spans="1:4" x14ac:dyDescent="0.25">
      <c r="A88" s="17" t="s">
        <v>59</v>
      </c>
      <c r="B88" s="17" t="s">
        <v>81</v>
      </c>
      <c r="C88" s="53">
        <v>6.611907078143224E-2</v>
      </c>
      <c r="D88" s="22">
        <v>6.9444444444444447E-4</v>
      </c>
    </row>
    <row r="89" spans="1:4" x14ac:dyDescent="0.25">
      <c r="A89" s="17" t="s">
        <v>59</v>
      </c>
      <c r="B89" s="17" t="s">
        <v>82</v>
      </c>
      <c r="C89" s="51">
        <v>0.11453269643643443</v>
      </c>
      <c r="D89" s="19">
        <v>6.9444444444444447E-4</v>
      </c>
    </row>
    <row r="90" spans="1:4" x14ac:dyDescent="0.25">
      <c r="A90" s="17" t="s">
        <v>59</v>
      </c>
      <c r="B90" s="17" t="s">
        <v>83</v>
      </c>
      <c r="C90" s="53">
        <v>7.770177044315088E-2</v>
      </c>
      <c r="D90" s="22">
        <v>6.9444444444444447E-4</v>
      </c>
    </row>
    <row r="91" spans="1:4" x14ac:dyDescent="0.25">
      <c r="A91" s="17" t="s">
        <v>59</v>
      </c>
      <c r="B91" s="17" t="s">
        <v>84</v>
      </c>
      <c r="C91" s="51">
        <v>0.10778499607087824</v>
      </c>
      <c r="D91" s="19">
        <v>6.9444444444444447E-4</v>
      </c>
    </row>
    <row r="92" spans="1:4" x14ac:dyDescent="0.25">
      <c r="A92" s="17" t="s">
        <v>59</v>
      </c>
      <c r="B92" s="17" t="s">
        <v>85</v>
      </c>
      <c r="C92" s="53">
        <v>0.13686656626437127</v>
      </c>
      <c r="D92" s="22">
        <v>6.9444444444444447E-4</v>
      </c>
    </row>
    <row r="93" spans="1:4" x14ac:dyDescent="0.25">
      <c r="A93" s="17" t="s">
        <v>59</v>
      </c>
      <c r="B93" s="17" t="s">
        <v>86</v>
      </c>
      <c r="C93" s="51">
        <v>0.1249617172497209</v>
      </c>
      <c r="D93" s="19">
        <v>6.9444444444444447E-4</v>
      </c>
    </row>
    <row r="94" spans="1:4" x14ac:dyDescent="0.25">
      <c r="A94" s="17" t="s">
        <v>59</v>
      </c>
      <c r="B94" s="17" t="s">
        <v>87</v>
      </c>
      <c r="C94" s="53">
        <v>7.0904712346923984E-2</v>
      </c>
      <c r="D94" s="22">
        <v>6.9444444444444447E-4</v>
      </c>
    </row>
    <row r="95" spans="1:4" x14ac:dyDescent="0.25">
      <c r="A95" s="17" t="s">
        <v>60</v>
      </c>
      <c r="B95" s="17" t="s">
        <v>55</v>
      </c>
      <c r="C95" s="51">
        <v>5.4974701252301673E-2</v>
      </c>
      <c r="D95" s="19">
        <v>6.9444444444444447E-4</v>
      </c>
    </row>
    <row r="96" spans="1:4" x14ac:dyDescent="0.25">
      <c r="A96" s="17" t="s">
        <v>60</v>
      </c>
      <c r="B96" s="17" t="s">
        <v>57</v>
      </c>
      <c r="C96" s="53">
        <v>4.4806617964085166E-2</v>
      </c>
      <c r="D96" s="22">
        <v>6.9444444444444447E-4</v>
      </c>
    </row>
    <row r="97" spans="1:4" x14ac:dyDescent="0.25">
      <c r="A97" s="17" t="s">
        <v>60</v>
      </c>
      <c r="B97" s="17" t="s">
        <v>59</v>
      </c>
      <c r="C97" s="51">
        <v>2.3423325976041721E-2</v>
      </c>
      <c r="D97" s="19">
        <v>6.9444444444444447E-4</v>
      </c>
    </row>
    <row r="98" spans="1:4" x14ac:dyDescent="0.25">
      <c r="A98" s="17" t="s">
        <v>60</v>
      </c>
      <c r="B98" s="17" t="s">
        <v>60</v>
      </c>
      <c r="C98" s="53">
        <v>0</v>
      </c>
      <c r="D98" s="22">
        <v>0</v>
      </c>
    </row>
    <row r="99" spans="1:4" x14ac:dyDescent="0.25">
      <c r="A99" s="17" t="s">
        <v>60</v>
      </c>
      <c r="B99" s="17" t="s">
        <v>61</v>
      </c>
      <c r="C99" s="51">
        <v>4.7390163960253098E-2</v>
      </c>
      <c r="D99" s="19">
        <v>6.9444444444444447E-4</v>
      </c>
    </row>
    <row r="100" spans="1:4" x14ac:dyDescent="0.25">
      <c r="A100" s="17" t="s">
        <v>60</v>
      </c>
      <c r="B100" s="17" t="s">
        <v>62</v>
      </c>
      <c r="C100" s="53">
        <v>5.5014011024280808E-2</v>
      </c>
      <c r="D100" s="22">
        <v>6.9444444444444447E-4</v>
      </c>
    </row>
    <row r="101" spans="1:4" x14ac:dyDescent="0.25">
      <c r="A101" s="17" t="s">
        <v>60</v>
      </c>
      <c r="B101" s="17" t="s">
        <v>63</v>
      </c>
      <c r="C101" s="51">
        <v>4.4262386950775875E-2</v>
      </c>
      <c r="D101" s="19">
        <v>6.9444444444444447E-4</v>
      </c>
    </row>
    <row r="102" spans="1:4" x14ac:dyDescent="0.25">
      <c r="A102" s="17" t="s">
        <v>60</v>
      </c>
      <c r="B102" s="17" t="s">
        <v>64</v>
      </c>
      <c r="C102" s="53">
        <v>7.5664206141209583E-2</v>
      </c>
      <c r="D102" s="22">
        <v>6.9444444444444447E-4</v>
      </c>
    </row>
    <row r="103" spans="1:4" x14ac:dyDescent="0.25">
      <c r="A103" s="17" t="s">
        <v>60</v>
      </c>
      <c r="B103" s="17" t="s">
        <v>65</v>
      </c>
      <c r="C103" s="51">
        <v>3.1043583468728E-2</v>
      </c>
      <c r="D103" s="19">
        <v>6.9444444444444447E-4</v>
      </c>
    </row>
    <row r="104" spans="1:4" x14ac:dyDescent="0.25">
      <c r="A104" s="17" t="s">
        <v>60</v>
      </c>
      <c r="B104" s="17" t="s">
        <v>66</v>
      </c>
      <c r="C104" s="53">
        <v>6.9239034613283401E-2</v>
      </c>
      <c r="D104" s="22">
        <v>6.9444444444444447E-4</v>
      </c>
    </row>
    <row r="105" spans="1:4" x14ac:dyDescent="0.25">
      <c r="A105" s="17" t="s">
        <v>60</v>
      </c>
      <c r="B105" s="17" t="s">
        <v>67</v>
      </c>
      <c r="C105" s="51">
        <v>5.9797257737957285E-2</v>
      </c>
      <c r="D105" s="19">
        <v>6.9444444444444447E-4</v>
      </c>
    </row>
    <row r="106" spans="1:4" x14ac:dyDescent="0.25">
      <c r="A106" s="17" t="s">
        <v>60</v>
      </c>
      <c r="B106" s="17" t="s">
        <v>68</v>
      </c>
      <c r="C106" s="53">
        <v>8.9349749148947985E-2</v>
      </c>
      <c r="D106" s="22">
        <v>6.9444444444444447E-4</v>
      </c>
    </row>
    <row r="107" spans="1:4" x14ac:dyDescent="0.25">
      <c r="A107" s="17" t="s">
        <v>60</v>
      </c>
      <c r="B107" s="17" t="s">
        <v>69</v>
      </c>
      <c r="C107" s="51">
        <v>8.6486649331442261E-2</v>
      </c>
      <c r="D107" s="19">
        <v>6.9444444444444447E-4</v>
      </c>
    </row>
    <row r="108" spans="1:4" x14ac:dyDescent="0.25">
      <c r="A108" s="17" t="s">
        <v>60</v>
      </c>
      <c r="B108" s="17" t="s">
        <v>70</v>
      </c>
      <c r="C108" s="53">
        <v>0.17906875823152058</v>
      </c>
      <c r="D108" s="22">
        <v>6.9444444444444447E-4</v>
      </c>
    </row>
    <row r="109" spans="1:4" x14ac:dyDescent="0.25">
      <c r="A109" s="17" t="s">
        <v>60</v>
      </c>
      <c r="B109" s="17" t="s">
        <v>71</v>
      </c>
      <c r="C109" s="51">
        <v>0.11666970000038136</v>
      </c>
      <c r="D109" s="19">
        <v>6.9444444444444447E-4</v>
      </c>
    </row>
    <row r="110" spans="1:4" x14ac:dyDescent="0.25">
      <c r="A110" s="17" t="s">
        <v>60</v>
      </c>
      <c r="B110" s="17" t="s">
        <v>72</v>
      </c>
      <c r="C110" s="53">
        <v>0.19512632585937398</v>
      </c>
      <c r="D110" s="22">
        <v>6.9444444444444447E-4</v>
      </c>
    </row>
    <row r="111" spans="1:4" x14ac:dyDescent="0.25">
      <c r="A111" s="17" t="s">
        <v>60</v>
      </c>
      <c r="B111" s="17" t="s">
        <v>73</v>
      </c>
      <c r="C111" s="51">
        <v>0.11067668406389469</v>
      </c>
      <c r="D111" s="19">
        <v>6.9444444444444447E-4</v>
      </c>
    </row>
    <row r="112" spans="1:4" x14ac:dyDescent="0.25">
      <c r="A112" s="17" t="s">
        <v>60</v>
      </c>
      <c r="B112" s="17" t="s">
        <v>74</v>
      </c>
      <c r="C112" s="53">
        <v>9.8762184051283189E-2</v>
      </c>
      <c r="D112" s="22">
        <v>6.9444444444444447E-4</v>
      </c>
    </row>
    <row r="113" spans="1:4" x14ac:dyDescent="0.25">
      <c r="A113" s="17" t="s">
        <v>60</v>
      </c>
      <c r="B113" s="17" t="s">
        <v>75</v>
      </c>
      <c r="C113" s="51">
        <v>0.23481480012592776</v>
      </c>
      <c r="D113" s="19">
        <v>6.9444444444444447E-4</v>
      </c>
    </row>
    <row r="114" spans="1:4" x14ac:dyDescent="0.25">
      <c r="A114" s="17" t="s">
        <v>60</v>
      </c>
      <c r="B114" s="17" t="s">
        <v>76</v>
      </c>
      <c r="C114" s="53">
        <v>0.22814866923078383</v>
      </c>
      <c r="D114" s="22">
        <v>6.9444444444444447E-4</v>
      </c>
    </row>
    <row r="115" spans="1:4" x14ac:dyDescent="0.25">
      <c r="A115" s="17" t="s">
        <v>60</v>
      </c>
      <c r="B115" s="17" t="s">
        <v>77</v>
      </c>
      <c r="C115" s="51">
        <v>0.12943526159659799</v>
      </c>
      <c r="D115" s="19">
        <v>6.9444444444444447E-4</v>
      </c>
    </row>
    <row r="116" spans="1:4" x14ac:dyDescent="0.25">
      <c r="A116" s="17" t="s">
        <v>60</v>
      </c>
      <c r="B116" s="17" t="s">
        <v>78</v>
      </c>
      <c r="C116" s="53">
        <v>0.13062232143925553</v>
      </c>
      <c r="D116" s="22">
        <v>6.9444444444444447E-4</v>
      </c>
    </row>
    <row r="117" spans="1:4" x14ac:dyDescent="0.25">
      <c r="A117" s="17" t="s">
        <v>60</v>
      </c>
      <c r="B117" s="17" t="s">
        <v>79</v>
      </c>
      <c r="C117" s="51">
        <v>0.20069379913833504</v>
      </c>
      <c r="D117" s="19">
        <v>6.9444444444444447E-4</v>
      </c>
    </row>
    <row r="118" spans="1:4" x14ac:dyDescent="0.25">
      <c r="A118" s="17" t="s">
        <v>60</v>
      </c>
      <c r="B118" s="17" t="s">
        <v>80</v>
      </c>
      <c r="C118" s="53">
        <v>0.20038080312789217</v>
      </c>
      <c r="D118" s="22">
        <v>6.9444444444444447E-4</v>
      </c>
    </row>
    <row r="119" spans="1:4" x14ac:dyDescent="0.25">
      <c r="A119" s="17" t="s">
        <v>60</v>
      </c>
      <c r="B119" s="17" t="s">
        <v>81</v>
      </c>
      <c r="C119" s="51">
        <v>8.8414314566022958E-2</v>
      </c>
      <c r="D119" s="19">
        <v>6.9444444444444447E-4</v>
      </c>
    </row>
    <row r="120" spans="1:4" x14ac:dyDescent="0.25">
      <c r="A120" s="17" t="s">
        <v>60</v>
      </c>
      <c r="B120" s="17" t="s">
        <v>82</v>
      </c>
      <c r="C120" s="53">
        <v>0.13265229407507573</v>
      </c>
      <c r="D120" s="22">
        <v>6.9444444444444447E-4</v>
      </c>
    </row>
    <row r="121" spans="1:4" x14ac:dyDescent="0.25">
      <c r="A121" s="17" t="s">
        <v>60</v>
      </c>
      <c r="B121" s="17" t="s">
        <v>83</v>
      </c>
      <c r="C121" s="51">
        <v>9.9421209585178513E-2</v>
      </c>
      <c r="D121" s="19">
        <v>6.9444444444444447E-4</v>
      </c>
    </row>
    <row r="122" spans="1:4" x14ac:dyDescent="0.25">
      <c r="A122" s="17" t="s">
        <v>60</v>
      </c>
      <c r="B122" s="17" t="s">
        <v>84</v>
      </c>
      <c r="C122" s="53">
        <v>0.12006303716539607</v>
      </c>
      <c r="D122" s="22">
        <v>6.9444444444444447E-4</v>
      </c>
    </row>
    <row r="123" spans="1:4" x14ac:dyDescent="0.25">
      <c r="A123" s="17" t="s">
        <v>60</v>
      </c>
      <c r="B123" s="17" t="s">
        <v>85</v>
      </c>
      <c r="C123" s="51">
        <v>0.15529183594567728</v>
      </c>
      <c r="D123" s="19">
        <v>6.9444444444444447E-4</v>
      </c>
    </row>
    <row r="124" spans="1:4" x14ac:dyDescent="0.25">
      <c r="A124" s="17" t="s">
        <v>60</v>
      </c>
      <c r="B124" s="17" t="s">
        <v>86</v>
      </c>
      <c r="C124" s="53">
        <v>0.14350563711498909</v>
      </c>
      <c r="D124" s="22">
        <v>6.9444444444444447E-4</v>
      </c>
    </row>
    <row r="125" spans="1:4" x14ac:dyDescent="0.25">
      <c r="A125" s="17" t="s">
        <v>60</v>
      </c>
      <c r="B125" s="17" t="s">
        <v>87</v>
      </c>
      <c r="C125" s="51">
        <v>8.7758971654070358E-2</v>
      </c>
      <c r="D125" s="19">
        <v>6.9444444444444447E-4</v>
      </c>
    </row>
    <row r="126" spans="1:4" x14ac:dyDescent="0.25">
      <c r="A126" s="17" t="s">
        <v>61</v>
      </c>
      <c r="B126" s="17" t="s">
        <v>55</v>
      </c>
      <c r="C126" s="53">
        <v>8.0957615935742869E-2</v>
      </c>
      <c r="D126" s="22">
        <v>6.9444444444444447E-4</v>
      </c>
    </row>
    <row r="127" spans="1:4" x14ac:dyDescent="0.25">
      <c r="A127" s="17" t="s">
        <v>61</v>
      </c>
      <c r="B127" s="17" t="s">
        <v>57</v>
      </c>
      <c r="C127" s="51">
        <v>1.2428595133803295E-2</v>
      </c>
      <c r="D127" s="19">
        <v>6.9444444444444447E-4</v>
      </c>
    </row>
    <row r="128" spans="1:4" x14ac:dyDescent="0.25">
      <c r="A128" s="17" t="s">
        <v>61</v>
      </c>
      <c r="B128" s="17" t="s">
        <v>59</v>
      </c>
      <c r="C128" s="53">
        <v>4.5188398378341051E-2</v>
      </c>
      <c r="D128" s="22">
        <v>6.9444444444444447E-4</v>
      </c>
    </row>
    <row r="129" spans="1:4" x14ac:dyDescent="0.25">
      <c r="A129" s="17" t="s">
        <v>61</v>
      </c>
      <c r="B129" s="17" t="s">
        <v>60</v>
      </c>
      <c r="C129" s="51">
        <v>4.7390163960253098E-2</v>
      </c>
      <c r="D129" s="19">
        <v>6.9444444444444447E-4</v>
      </c>
    </row>
    <row r="130" spans="1:4" x14ac:dyDescent="0.25">
      <c r="A130" s="17" t="s">
        <v>61</v>
      </c>
      <c r="B130" s="17" t="s">
        <v>61</v>
      </c>
      <c r="C130" s="53">
        <v>0</v>
      </c>
      <c r="D130" s="22">
        <v>0</v>
      </c>
    </row>
    <row r="131" spans="1:4" x14ac:dyDescent="0.25">
      <c r="A131" s="17" t="s">
        <v>61</v>
      </c>
      <c r="B131" s="17" t="s">
        <v>62</v>
      </c>
      <c r="C131" s="51">
        <v>3.7567680591165713E-2</v>
      </c>
      <c r="D131" s="19">
        <v>6.9444444444444447E-4</v>
      </c>
    </row>
    <row r="132" spans="1:4" x14ac:dyDescent="0.25">
      <c r="A132" s="17" t="s">
        <v>61</v>
      </c>
      <c r="B132" s="17" t="s">
        <v>63</v>
      </c>
      <c r="C132" s="53">
        <v>5.5603901167093364E-2</v>
      </c>
      <c r="D132" s="22">
        <v>6.9444444444444447E-4</v>
      </c>
    </row>
    <row r="133" spans="1:4" x14ac:dyDescent="0.25">
      <c r="A133" s="17" t="s">
        <v>61</v>
      </c>
      <c r="B133" s="17" t="s">
        <v>64</v>
      </c>
      <c r="C133" s="51">
        <v>3.1885081292039895E-2</v>
      </c>
      <c r="D133" s="19">
        <v>6.9444444444444447E-4</v>
      </c>
    </row>
    <row r="134" spans="1:4" x14ac:dyDescent="0.25">
      <c r="A134" s="17" t="s">
        <v>61</v>
      </c>
      <c r="B134" s="17" t="s">
        <v>65</v>
      </c>
      <c r="C134" s="53">
        <v>1.6383234265551577E-2</v>
      </c>
      <c r="D134" s="22">
        <v>6.9444444444444447E-4</v>
      </c>
    </row>
    <row r="135" spans="1:4" x14ac:dyDescent="0.25">
      <c r="A135" s="17" t="s">
        <v>61</v>
      </c>
      <c r="B135" s="17" t="s">
        <v>66</v>
      </c>
      <c r="C135" s="51">
        <v>2.1911288346420435E-2</v>
      </c>
      <c r="D135" s="19">
        <v>6.9444444444444447E-4</v>
      </c>
    </row>
    <row r="136" spans="1:4" x14ac:dyDescent="0.25">
      <c r="A136" s="17" t="s">
        <v>61</v>
      </c>
      <c r="B136" s="17" t="s">
        <v>67</v>
      </c>
      <c r="C136" s="53">
        <v>5.9195623022315111E-2</v>
      </c>
      <c r="D136" s="22">
        <v>6.9444444444444447E-4</v>
      </c>
    </row>
    <row r="137" spans="1:4" x14ac:dyDescent="0.25">
      <c r="A137" s="17" t="s">
        <v>61</v>
      </c>
      <c r="B137" s="17" t="s">
        <v>68</v>
      </c>
      <c r="C137" s="51">
        <v>4.6452340307031437E-2</v>
      </c>
      <c r="D137" s="19">
        <v>6.9444444444444447E-4</v>
      </c>
    </row>
    <row r="138" spans="1:4" x14ac:dyDescent="0.25">
      <c r="A138" s="17" t="s">
        <v>61</v>
      </c>
      <c r="B138" s="17" t="s">
        <v>69</v>
      </c>
      <c r="C138" s="53">
        <v>3.9593257835144294E-2</v>
      </c>
      <c r="D138" s="22">
        <v>6.9444444444444447E-4</v>
      </c>
    </row>
    <row r="139" spans="1:4" x14ac:dyDescent="0.25">
      <c r="A139" s="17" t="s">
        <v>61</v>
      </c>
      <c r="B139" s="17" t="s">
        <v>70</v>
      </c>
      <c r="C139" s="51">
        <v>0.13434388581547002</v>
      </c>
      <c r="D139" s="19">
        <v>6.9444444444444447E-4</v>
      </c>
    </row>
    <row r="140" spans="1:4" x14ac:dyDescent="0.25">
      <c r="A140" s="17" t="s">
        <v>61</v>
      </c>
      <c r="B140" s="17" t="s">
        <v>71</v>
      </c>
      <c r="C140" s="53">
        <v>6.9280318272940095E-2</v>
      </c>
      <c r="D140" s="22">
        <v>6.9444444444444447E-4</v>
      </c>
    </row>
    <row r="141" spans="1:4" x14ac:dyDescent="0.25">
      <c r="A141" s="17" t="s">
        <v>61</v>
      </c>
      <c r="B141" s="17" t="s">
        <v>72</v>
      </c>
      <c r="C141" s="51">
        <v>0.14827336637778199</v>
      </c>
      <c r="D141" s="19">
        <v>6.9444444444444447E-4</v>
      </c>
    </row>
    <row r="142" spans="1:4" x14ac:dyDescent="0.25">
      <c r="A142" s="17" t="s">
        <v>61</v>
      </c>
      <c r="B142" s="17" t="s">
        <v>73</v>
      </c>
      <c r="C142" s="53">
        <v>6.3752053057136909E-2</v>
      </c>
      <c r="D142" s="22">
        <v>6.9444444444444447E-4</v>
      </c>
    </row>
    <row r="143" spans="1:4" x14ac:dyDescent="0.25">
      <c r="A143" s="17" t="s">
        <v>61</v>
      </c>
      <c r="B143" s="17" t="s">
        <v>74</v>
      </c>
      <c r="C143" s="51">
        <v>5.1585233313421221E-2</v>
      </c>
      <c r="D143" s="19">
        <v>6.9444444444444447E-4</v>
      </c>
    </row>
    <row r="144" spans="1:4" x14ac:dyDescent="0.25">
      <c r="A144" s="17" t="s">
        <v>61</v>
      </c>
      <c r="B144" s="17" t="s">
        <v>75</v>
      </c>
      <c r="C144" s="53">
        <v>0.18838121151537623</v>
      </c>
      <c r="D144" s="22">
        <v>6.9444444444444447E-4</v>
      </c>
    </row>
    <row r="145" spans="1:4" x14ac:dyDescent="0.25">
      <c r="A145" s="17" t="s">
        <v>61</v>
      </c>
      <c r="B145" s="17" t="s">
        <v>76</v>
      </c>
      <c r="C145" s="51">
        <v>0.18189273065463449</v>
      </c>
      <c r="D145" s="19">
        <v>6.9444444444444447E-4</v>
      </c>
    </row>
    <row r="146" spans="1:4" x14ac:dyDescent="0.25">
      <c r="A146" s="17" t="s">
        <v>61</v>
      </c>
      <c r="B146" s="17" t="s">
        <v>77</v>
      </c>
      <c r="C146" s="53">
        <v>8.2179541888479965E-2</v>
      </c>
      <c r="D146" s="22">
        <v>6.9444444444444447E-4</v>
      </c>
    </row>
    <row r="147" spans="1:4" x14ac:dyDescent="0.25">
      <c r="A147" s="17" t="s">
        <v>61</v>
      </c>
      <c r="B147" s="17" t="s">
        <v>78</v>
      </c>
      <c r="C147" s="51">
        <v>8.3944428790722544E-2</v>
      </c>
      <c r="D147" s="19">
        <v>6.9444444444444447E-4</v>
      </c>
    </row>
    <row r="148" spans="1:4" x14ac:dyDescent="0.25">
      <c r="A148" s="17" t="s">
        <v>61</v>
      </c>
      <c r="B148" s="17" t="s">
        <v>79</v>
      </c>
      <c r="C148" s="53">
        <v>0.15440639502948011</v>
      </c>
      <c r="D148" s="22">
        <v>6.9444444444444447E-4</v>
      </c>
    </row>
    <row r="149" spans="1:4" x14ac:dyDescent="0.25">
      <c r="A149" s="17" t="s">
        <v>61</v>
      </c>
      <c r="B149" s="17" t="s">
        <v>80</v>
      </c>
      <c r="C149" s="51">
        <v>0.15492099203465098</v>
      </c>
      <c r="D149" s="19">
        <v>6.9444444444444447E-4</v>
      </c>
    </row>
    <row r="150" spans="1:4" x14ac:dyDescent="0.25">
      <c r="A150" s="17" t="s">
        <v>61</v>
      </c>
      <c r="B150" s="17" t="s">
        <v>81</v>
      </c>
      <c r="C150" s="53">
        <v>9.7015384517094627E-2</v>
      </c>
      <c r="D150" s="22">
        <v>6.9444444444444447E-4</v>
      </c>
    </row>
    <row r="151" spans="1:4" x14ac:dyDescent="0.25">
      <c r="A151" s="17" t="s">
        <v>61</v>
      </c>
      <c r="B151" s="17" t="s">
        <v>82</v>
      </c>
      <c r="C151" s="51">
        <v>9.7171244084867686E-2</v>
      </c>
      <c r="D151" s="19">
        <v>6.9444444444444447E-4</v>
      </c>
    </row>
    <row r="152" spans="1:4" x14ac:dyDescent="0.25">
      <c r="A152" s="17" t="s">
        <v>61</v>
      </c>
      <c r="B152" s="17" t="s">
        <v>83</v>
      </c>
      <c r="C152" s="53">
        <v>7.8645745174171E-2</v>
      </c>
      <c r="D152" s="22">
        <v>6.9444444444444447E-4</v>
      </c>
    </row>
    <row r="153" spans="1:4" x14ac:dyDescent="0.25">
      <c r="A153" s="17" t="s">
        <v>61</v>
      </c>
      <c r="B153" s="17" t="s">
        <v>84</v>
      </c>
      <c r="C153" s="51">
        <v>7.5901193679679221E-2</v>
      </c>
      <c r="D153" s="19">
        <v>6.9444444444444447E-4</v>
      </c>
    </row>
    <row r="154" spans="1:4" x14ac:dyDescent="0.25">
      <c r="A154" s="17" t="s">
        <v>61</v>
      </c>
      <c r="B154" s="17" t="s">
        <v>85</v>
      </c>
      <c r="C154" s="53">
        <v>0.11948584905753463</v>
      </c>
      <c r="D154" s="22">
        <v>6.9444444444444447E-4</v>
      </c>
    </row>
    <row r="155" spans="1:4" x14ac:dyDescent="0.25">
      <c r="A155" s="17" t="s">
        <v>61</v>
      </c>
      <c r="B155" s="17" t="s">
        <v>86</v>
      </c>
      <c r="C155" s="51">
        <v>0.10846546983256951</v>
      </c>
      <c r="D155" s="19">
        <v>6.9444444444444447E-4</v>
      </c>
    </row>
    <row r="156" spans="1:4" x14ac:dyDescent="0.25">
      <c r="A156" s="17" t="s">
        <v>61</v>
      </c>
      <c r="B156" s="17" t="s">
        <v>87</v>
      </c>
      <c r="C156" s="53">
        <v>5.36538731220794E-2</v>
      </c>
      <c r="D156" s="22">
        <v>6.9444444444444447E-4</v>
      </c>
    </row>
    <row r="157" spans="1:4" x14ac:dyDescent="0.25">
      <c r="A157" s="17" t="s">
        <v>62</v>
      </c>
      <c r="B157" s="17" t="s">
        <v>55</v>
      </c>
      <c r="C157" s="51">
        <v>0.10532689117694036</v>
      </c>
      <c r="D157" s="19">
        <v>6.9444444444444447E-4</v>
      </c>
    </row>
    <row r="158" spans="1:4" x14ac:dyDescent="0.25">
      <c r="A158" s="17" t="s">
        <v>62</v>
      </c>
      <c r="B158" s="17" t="s">
        <v>57</v>
      </c>
      <c r="C158" s="53">
        <v>4.8756266017812744E-2</v>
      </c>
      <c r="D158" s="22">
        <v>6.9444444444444447E-4</v>
      </c>
    </row>
    <row r="159" spans="1:4" x14ac:dyDescent="0.25">
      <c r="A159" s="17" t="s">
        <v>62</v>
      </c>
      <c r="B159" s="17" t="s">
        <v>59</v>
      </c>
      <c r="C159" s="51">
        <v>3.6038660976788192E-2</v>
      </c>
      <c r="D159" s="19">
        <v>6.9444444444444447E-4</v>
      </c>
    </row>
    <row r="160" spans="1:4" x14ac:dyDescent="0.25">
      <c r="A160" s="17" t="s">
        <v>62</v>
      </c>
      <c r="B160" s="17" t="s">
        <v>60</v>
      </c>
      <c r="C160" s="53">
        <v>5.5014011024280808E-2</v>
      </c>
      <c r="D160" s="22">
        <v>6.9444444444444447E-4</v>
      </c>
    </row>
    <row r="161" spans="1:4" x14ac:dyDescent="0.25">
      <c r="A161" s="17" t="s">
        <v>62</v>
      </c>
      <c r="B161" s="17" t="s">
        <v>61</v>
      </c>
      <c r="C161" s="51">
        <v>3.7567680591165713E-2</v>
      </c>
      <c r="D161" s="19">
        <v>6.9444444444444447E-4</v>
      </c>
    </row>
    <row r="162" spans="1:4" x14ac:dyDescent="0.25">
      <c r="A162" s="17" t="s">
        <v>62</v>
      </c>
      <c r="B162" s="17" t="s">
        <v>62</v>
      </c>
      <c r="C162" s="53">
        <v>0</v>
      </c>
      <c r="D162" s="22">
        <v>0</v>
      </c>
    </row>
    <row r="163" spans="1:4" x14ac:dyDescent="0.25">
      <c r="A163" s="17" t="s">
        <v>62</v>
      </c>
      <c r="B163" s="17" t="s">
        <v>63</v>
      </c>
      <c r="C163" s="51">
        <v>8.4761795934252718E-2</v>
      </c>
      <c r="D163" s="19">
        <v>6.9444444444444447E-4</v>
      </c>
    </row>
    <row r="164" spans="1:4" x14ac:dyDescent="0.25">
      <c r="A164" s="17" t="s">
        <v>62</v>
      </c>
      <c r="B164" s="17" t="s">
        <v>64</v>
      </c>
      <c r="C164" s="53">
        <v>3.7510191921660753E-2</v>
      </c>
      <c r="D164" s="22">
        <v>6.9444444444444447E-4</v>
      </c>
    </row>
    <row r="165" spans="1:4" x14ac:dyDescent="0.25">
      <c r="A165" s="17" t="s">
        <v>62</v>
      </c>
      <c r="B165" s="17" t="s">
        <v>65</v>
      </c>
      <c r="C165" s="51">
        <v>3.7369814235556548E-2</v>
      </c>
      <c r="D165" s="19">
        <v>6.9444444444444447E-4</v>
      </c>
    </row>
    <row r="166" spans="1:4" x14ac:dyDescent="0.25">
      <c r="A166" s="17" t="s">
        <v>62</v>
      </c>
      <c r="B166" s="17" t="s">
        <v>66</v>
      </c>
      <c r="C166" s="53">
        <v>4.5100830191913056E-2</v>
      </c>
      <c r="D166" s="22">
        <v>6.9444444444444447E-4</v>
      </c>
    </row>
    <row r="167" spans="1:4" x14ac:dyDescent="0.25">
      <c r="A167" s="17" t="s">
        <v>62</v>
      </c>
      <c r="B167" s="17" t="s">
        <v>67</v>
      </c>
      <c r="C167" s="51">
        <v>2.3976469131216E-2</v>
      </c>
      <c r="D167" s="19">
        <v>6.9444444444444447E-4</v>
      </c>
    </row>
    <row r="168" spans="1:4" x14ac:dyDescent="0.25">
      <c r="A168" s="17" t="s">
        <v>62</v>
      </c>
      <c r="B168" s="17" t="s">
        <v>68</v>
      </c>
      <c r="C168" s="53">
        <v>7.7920019410931934E-2</v>
      </c>
      <c r="D168" s="22">
        <v>6.9444444444444447E-4</v>
      </c>
    </row>
    <row r="169" spans="1:4" x14ac:dyDescent="0.25">
      <c r="A169" s="17" t="s">
        <v>62</v>
      </c>
      <c r="B169" s="17" t="s">
        <v>69</v>
      </c>
      <c r="C169" s="51">
        <v>6.4168240781558222E-2</v>
      </c>
      <c r="D169" s="19">
        <v>6.9444444444444447E-4</v>
      </c>
    </row>
    <row r="170" spans="1:4" x14ac:dyDescent="0.25">
      <c r="A170" s="17" t="s">
        <v>62</v>
      </c>
      <c r="B170" s="17" t="s">
        <v>70</v>
      </c>
      <c r="C170" s="53">
        <v>0.13162420390262403</v>
      </c>
      <c r="D170" s="22">
        <v>6.9444444444444447E-4</v>
      </c>
    </row>
    <row r="171" spans="1:4" x14ac:dyDescent="0.25">
      <c r="A171" s="17" t="s">
        <v>62</v>
      </c>
      <c r="B171" s="17" t="s">
        <v>71</v>
      </c>
      <c r="C171" s="51">
        <v>8.4682779388722956E-2</v>
      </c>
      <c r="D171" s="19">
        <v>6.9444444444444447E-4</v>
      </c>
    </row>
    <row r="172" spans="1:4" x14ac:dyDescent="0.25">
      <c r="A172" s="17" t="s">
        <v>62</v>
      </c>
      <c r="B172" s="17" t="s">
        <v>72</v>
      </c>
      <c r="C172" s="53">
        <v>0.15313983265629952</v>
      </c>
      <c r="D172" s="22">
        <v>6.9444444444444447E-4</v>
      </c>
    </row>
    <row r="173" spans="1:4" x14ac:dyDescent="0.25">
      <c r="A173" s="17" t="s">
        <v>62</v>
      </c>
      <c r="B173" s="17" t="s">
        <v>73</v>
      </c>
      <c r="C173" s="51">
        <v>7.376762901164309E-2</v>
      </c>
      <c r="D173" s="19">
        <v>6.9444444444444447E-4</v>
      </c>
    </row>
    <row r="174" spans="1:4" x14ac:dyDescent="0.25">
      <c r="A174" s="17" t="s">
        <v>62</v>
      </c>
      <c r="B174" s="17" t="s">
        <v>74</v>
      </c>
      <c r="C174" s="53">
        <v>6.5215175327526076E-2</v>
      </c>
      <c r="D174" s="22">
        <v>6.9444444444444447E-4</v>
      </c>
    </row>
    <row r="175" spans="1:4" x14ac:dyDescent="0.25">
      <c r="A175" s="17" t="s">
        <v>62</v>
      </c>
      <c r="B175" s="17" t="s">
        <v>75</v>
      </c>
      <c r="C175" s="51">
        <v>0.19035251961820707</v>
      </c>
      <c r="D175" s="19">
        <v>6.9444444444444447E-4</v>
      </c>
    </row>
    <row r="176" spans="1:4" x14ac:dyDescent="0.25">
      <c r="A176" s="17" t="s">
        <v>62</v>
      </c>
      <c r="B176" s="17" t="s">
        <v>76</v>
      </c>
      <c r="C176" s="53">
        <v>0.18321820002390229</v>
      </c>
      <c r="D176" s="22">
        <v>6.9444444444444447E-4</v>
      </c>
    </row>
    <row r="177" spans="1:4" x14ac:dyDescent="0.25">
      <c r="A177" s="17" t="s">
        <v>62</v>
      </c>
      <c r="B177" s="17" t="s">
        <v>77</v>
      </c>
      <c r="C177" s="51">
        <v>9.3163776415513905E-2</v>
      </c>
      <c r="D177" s="19">
        <v>6.9444444444444447E-4</v>
      </c>
    </row>
    <row r="178" spans="1:4" x14ac:dyDescent="0.25">
      <c r="A178" s="17" t="s">
        <v>62</v>
      </c>
      <c r="B178" s="17" t="s">
        <v>78</v>
      </c>
      <c r="C178" s="53">
        <v>0.10433260324558326</v>
      </c>
      <c r="D178" s="22">
        <v>6.9444444444444447E-4</v>
      </c>
    </row>
    <row r="179" spans="1:4" x14ac:dyDescent="0.25">
      <c r="A179" s="17" t="s">
        <v>62</v>
      </c>
      <c r="B179" s="17" t="s">
        <v>79</v>
      </c>
      <c r="C179" s="51">
        <v>0.15637878766955327</v>
      </c>
      <c r="D179" s="19">
        <v>6.9444444444444447E-4</v>
      </c>
    </row>
    <row r="180" spans="1:4" x14ac:dyDescent="0.25">
      <c r="A180" s="17" t="s">
        <v>62</v>
      </c>
      <c r="B180" s="17" t="s">
        <v>80</v>
      </c>
      <c r="C180" s="53">
        <v>0.15390322762697284</v>
      </c>
      <c r="D180" s="22">
        <v>6.9444444444444447E-4</v>
      </c>
    </row>
    <row r="181" spans="1:4" x14ac:dyDescent="0.25">
      <c r="A181" s="17" t="s">
        <v>62</v>
      </c>
      <c r="B181" s="17" t="s">
        <v>81</v>
      </c>
      <c r="C181" s="51">
        <v>6.1366241159126866E-2</v>
      </c>
      <c r="D181" s="19">
        <v>6.9444444444444447E-4</v>
      </c>
    </row>
    <row r="182" spans="1:4" x14ac:dyDescent="0.25">
      <c r="A182" s="17" t="s">
        <v>62</v>
      </c>
      <c r="B182" s="17" t="s">
        <v>82</v>
      </c>
      <c r="C182" s="53">
        <v>7.8556700388958442E-2</v>
      </c>
      <c r="D182" s="22">
        <v>6.9444444444444447E-4</v>
      </c>
    </row>
    <row r="183" spans="1:4" x14ac:dyDescent="0.25">
      <c r="A183" s="17" t="s">
        <v>62</v>
      </c>
      <c r="B183" s="17" t="s">
        <v>83</v>
      </c>
      <c r="C183" s="51">
        <v>4.5788103531379826E-2</v>
      </c>
      <c r="D183" s="19">
        <v>6.9444444444444447E-4</v>
      </c>
    </row>
    <row r="184" spans="1:4" x14ac:dyDescent="0.25">
      <c r="A184" s="17" t="s">
        <v>62</v>
      </c>
      <c r="B184" s="17" t="s">
        <v>84</v>
      </c>
      <c r="C184" s="53">
        <v>7.4307255372538267E-2</v>
      </c>
      <c r="D184" s="22">
        <v>6.9444444444444447E-4</v>
      </c>
    </row>
    <row r="185" spans="1:4" x14ac:dyDescent="0.25">
      <c r="A185" s="17" t="s">
        <v>62</v>
      </c>
      <c r="B185" s="17" t="s">
        <v>85</v>
      </c>
      <c r="C185" s="51">
        <v>0.10098804384678413</v>
      </c>
      <c r="D185" s="19">
        <v>6.9444444444444447E-4</v>
      </c>
    </row>
    <row r="186" spans="1:4" x14ac:dyDescent="0.25">
      <c r="A186" s="17" t="s">
        <v>62</v>
      </c>
      <c r="B186" s="17" t="s">
        <v>86</v>
      </c>
      <c r="C186" s="53">
        <v>8.9106133778768318E-2</v>
      </c>
      <c r="D186" s="22">
        <v>6.9444444444444447E-4</v>
      </c>
    </row>
    <row r="187" spans="1:4" x14ac:dyDescent="0.25">
      <c r="A187" s="17" t="s">
        <v>62</v>
      </c>
      <c r="B187" s="17" t="s">
        <v>87</v>
      </c>
      <c r="C187" s="51">
        <v>3.5092735772523233E-2</v>
      </c>
      <c r="D187" s="19">
        <v>6.9444444444444447E-4</v>
      </c>
    </row>
    <row r="188" spans="1:4" x14ac:dyDescent="0.25">
      <c r="A188" s="17" t="s">
        <v>63</v>
      </c>
      <c r="B188" s="17" t="s">
        <v>55</v>
      </c>
      <c r="C188" s="53">
        <v>2.7443130087508025E-2</v>
      </c>
      <c r="D188" s="22">
        <v>6.9444444444444447E-4</v>
      </c>
    </row>
    <row r="189" spans="1:4" x14ac:dyDescent="0.25">
      <c r="A189" s="17" t="s">
        <v>63</v>
      </c>
      <c r="B189" s="17" t="s">
        <v>57</v>
      </c>
      <c r="C189" s="51">
        <v>4.4167710309679586E-2</v>
      </c>
      <c r="D189" s="19">
        <v>6.9444444444444447E-4</v>
      </c>
    </row>
    <row r="190" spans="1:4" x14ac:dyDescent="0.25">
      <c r="A190" s="17" t="s">
        <v>63</v>
      </c>
      <c r="B190" s="17" t="s">
        <v>59</v>
      </c>
      <c r="C190" s="53">
        <v>6.4824281631191638E-2</v>
      </c>
      <c r="D190" s="22">
        <v>6.9444444444444447E-4</v>
      </c>
    </row>
    <row r="191" spans="1:4" x14ac:dyDescent="0.25">
      <c r="A191" s="17" t="s">
        <v>63</v>
      </c>
      <c r="B191" s="17" t="s">
        <v>60</v>
      </c>
      <c r="C191" s="51">
        <v>4.4262386950775875E-2</v>
      </c>
      <c r="D191" s="19">
        <v>6.9444444444444447E-4</v>
      </c>
    </row>
    <row r="192" spans="1:4" x14ac:dyDescent="0.25">
      <c r="A192" s="17" t="s">
        <v>63</v>
      </c>
      <c r="B192" s="17" t="s">
        <v>61</v>
      </c>
      <c r="C192" s="53">
        <v>5.5603901167093364E-2</v>
      </c>
      <c r="D192" s="22">
        <v>6.9444444444444447E-4</v>
      </c>
    </row>
    <row r="193" spans="1:4" x14ac:dyDescent="0.25">
      <c r="A193" s="17" t="s">
        <v>63</v>
      </c>
      <c r="B193" s="17" t="s">
        <v>62</v>
      </c>
      <c r="C193" s="51">
        <v>8.4761795934252718E-2</v>
      </c>
      <c r="D193" s="19">
        <v>6.9444444444444447E-4</v>
      </c>
    </row>
    <row r="194" spans="1:4" x14ac:dyDescent="0.25">
      <c r="A194" s="17" t="s">
        <v>63</v>
      </c>
      <c r="B194" s="17" t="s">
        <v>63</v>
      </c>
      <c r="C194" s="53">
        <v>0</v>
      </c>
      <c r="D194" s="22">
        <v>0</v>
      </c>
    </row>
    <row r="195" spans="1:4" x14ac:dyDescent="0.25">
      <c r="A195" s="17" t="s">
        <v>63</v>
      </c>
      <c r="B195" s="17" t="s">
        <v>64</v>
      </c>
      <c r="C195" s="51">
        <v>8.6822829002513716E-2</v>
      </c>
      <c r="D195" s="19">
        <v>6.9444444444444447E-4</v>
      </c>
    </row>
    <row r="196" spans="1:4" x14ac:dyDescent="0.25">
      <c r="A196" s="17" t="s">
        <v>63</v>
      </c>
      <c r="B196" s="17" t="s">
        <v>65</v>
      </c>
      <c r="C196" s="53">
        <v>4.764035325225794E-2</v>
      </c>
      <c r="D196" s="22">
        <v>6.9444444444444447E-4</v>
      </c>
    </row>
    <row r="197" spans="1:4" x14ac:dyDescent="0.25">
      <c r="A197" s="17" t="s">
        <v>63</v>
      </c>
      <c r="B197" s="17" t="s">
        <v>66</v>
      </c>
      <c r="C197" s="51">
        <v>7.2786981102389819E-2</v>
      </c>
      <c r="D197" s="19">
        <v>6.9444444444444447E-4</v>
      </c>
    </row>
    <row r="198" spans="1:4" x14ac:dyDescent="0.25">
      <c r="A198" s="17" t="s">
        <v>63</v>
      </c>
      <c r="B198" s="17" t="s">
        <v>67</v>
      </c>
      <c r="C198" s="53">
        <v>9.8072219440574537E-2</v>
      </c>
      <c r="D198" s="22">
        <v>6.9444444444444447E-4</v>
      </c>
    </row>
    <row r="199" spans="1:4" x14ac:dyDescent="0.25">
      <c r="A199" s="17" t="s">
        <v>63</v>
      </c>
      <c r="B199" s="17" t="s">
        <v>68</v>
      </c>
      <c r="C199" s="51">
        <v>7.50597640883571E-2</v>
      </c>
      <c r="D199" s="19">
        <v>6.9444444444444447E-4</v>
      </c>
    </row>
    <row r="200" spans="1:4" x14ac:dyDescent="0.25">
      <c r="A200" s="17" t="s">
        <v>63</v>
      </c>
      <c r="B200" s="17" t="s">
        <v>69</v>
      </c>
      <c r="C200" s="53">
        <v>8.1836263068396739E-2</v>
      </c>
      <c r="D200" s="22">
        <v>6.9444444444444447E-4</v>
      </c>
    </row>
    <row r="201" spans="1:4" x14ac:dyDescent="0.25">
      <c r="A201" s="17" t="s">
        <v>63</v>
      </c>
      <c r="B201" s="17" t="s">
        <v>70</v>
      </c>
      <c r="C201" s="51">
        <v>0.18537966521978416</v>
      </c>
      <c r="D201" s="19">
        <v>6.9444444444444447E-4</v>
      </c>
    </row>
    <row r="202" spans="1:4" x14ac:dyDescent="0.25">
      <c r="A202" s="17" t="s">
        <v>63</v>
      </c>
      <c r="B202" s="17" t="s">
        <v>71</v>
      </c>
      <c r="C202" s="53">
        <v>0.11307674307743204</v>
      </c>
      <c r="D202" s="22">
        <v>6.9444444444444447E-4</v>
      </c>
    </row>
    <row r="203" spans="1:4" x14ac:dyDescent="0.25">
      <c r="A203" s="17" t="s">
        <v>63</v>
      </c>
      <c r="B203" s="17" t="s">
        <v>72</v>
      </c>
      <c r="C203" s="51">
        <v>0.19408404402216792</v>
      </c>
      <c r="D203" s="19">
        <v>6.9444444444444447E-4</v>
      </c>
    </row>
    <row r="204" spans="1:4" x14ac:dyDescent="0.25">
      <c r="A204" s="17" t="s">
        <v>63</v>
      </c>
      <c r="B204" s="17" t="s">
        <v>73</v>
      </c>
      <c r="C204" s="53">
        <v>0.11236113239016284</v>
      </c>
      <c r="D204" s="22">
        <v>6.9444444444444447E-4</v>
      </c>
    </row>
    <row r="205" spans="1:4" x14ac:dyDescent="0.25">
      <c r="A205" s="17" t="s">
        <v>63</v>
      </c>
      <c r="B205" s="17" t="s">
        <v>74</v>
      </c>
      <c r="C205" s="51">
        <v>9.9877951105334262E-2</v>
      </c>
      <c r="D205" s="19">
        <v>6.9444444444444447E-4</v>
      </c>
    </row>
    <row r="206" spans="1:4" x14ac:dyDescent="0.25">
      <c r="A206" s="17" t="s">
        <v>63</v>
      </c>
      <c r="B206" s="17" t="s">
        <v>75</v>
      </c>
      <c r="C206" s="53">
        <v>0.23507041719663516</v>
      </c>
      <c r="D206" s="22">
        <v>6.9444444444444447E-4</v>
      </c>
    </row>
    <row r="207" spans="1:4" x14ac:dyDescent="0.25">
      <c r="A207" s="17" t="s">
        <v>63</v>
      </c>
      <c r="B207" s="17" t="s">
        <v>76</v>
      </c>
      <c r="C207" s="51">
        <v>0.22920239555903008</v>
      </c>
      <c r="D207" s="19">
        <v>6.9444444444444447E-4</v>
      </c>
    </row>
    <row r="208" spans="1:4" x14ac:dyDescent="0.25">
      <c r="A208" s="17" t="s">
        <v>63</v>
      </c>
      <c r="B208" s="17" t="s">
        <v>77</v>
      </c>
      <c r="C208" s="53">
        <v>0.12782876099689036</v>
      </c>
      <c r="D208" s="22">
        <v>6.9444444444444447E-4</v>
      </c>
    </row>
    <row r="209" spans="1:4" x14ac:dyDescent="0.25">
      <c r="A209" s="17" t="s">
        <v>63</v>
      </c>
      <c r="B209" s="17" t="s">
        <v>78</v>
      </c>
      <c r="C209" s="51">
        <v>0.12016655212662182</v>
      </c>
      <c r="D209" s="19">
        <v>6.9444444444444447E-4</v>
      </c>
    </row>
    <row r="210" spans="1:4" x14ac:dyDescent="0.25">
      <c r="A210" s="17" t="s">
        <v>63</v>
      </c>
      <c r="B210" s="17" t="s">
        <v>79</v>
      </c>
      <c r="C210" s="53">
        <v>0.20205947856262221</v>
      </c>
      <c r="D210" s="22">
        <v>6.9444444444444447E-4</v>
      </c>
    </row>
    <row r="211" spans="1:4" x14ac:dyDescent="0.25">
      <c r="A211" s="17" t="s">
        <v>63</v>
      </c>
      <c r="B211" s="17" t="s">
        <v>80</v>
      </c>
      <c r="C211" s="51">
        <v>0.20444370011325738</v>
      </c>
      <c r="D211" s="19">
        <v>6.9444444444444447E-4</v>
      </c>
    </row>
    <row r="212" spans="1:4" x14ac:dyDescent="0.25">
      <c r="A212" s="17" t="s">
        <v>63</v>
      </c>
      <c r="B212" s="17" t="s">
        <v>81</v>
      </c>
      <c r="C212" s="53">
        <v>0.13091374234968689</v>
      </c>
      <c r="D212" s="22">
        <v>6.9444444444444447E-4</v>
      </c>
    </row>
    <row r="213" spans="1:4" x14ac:dyDescent="0.25">
      <c r="A213" s="17" t="s">
        <v>63</v>
      </c>
      <c r="B213" s="17" t="s">
        <v>82</v>
      </c>
      <c r="C213" s="51">
        <v>0.15277513814099844</v>
      </c>
      <c r="D213" s="19">
        <v>6.9444444444444447E-4</v>
      </c>
    </row>
    <row r="214" spans="1:4" x14ac:dyDescent="0.25">
      <c r="A214" s="17" t="s">
        <v>63</v>
      </c>
      <c r="B214" s="17" t="s">
        <v>83</v>
      </c>
      <c r="C214" s="53">
        <v>0.13020731429916285</v>
      </c>
      <c r="D214" s="22">
        <v>6.9444444444444447E-4</v>
      </c>
    </row>
    <row r="215" spans="1:4" x14ac:dyDescent="0.25">
      <c r="A215" s="17" t="s">
        <v>63</v>
      </c>
      <c r="B215" s="17" t="s">
        <v>84</v>
      </c>
      <c r="C215" s="51">
        <v>0.12890567136088293</v>
      </c>
      <c r="D215" s="19">
        <v>6.9444444444444447E-4</v>
      </c>
    </row>
    <row r="216" spans="1:4" x14ac:dyDescent="0.25">
      <c r="A216" s="17" t="s">
        <v>63</v>
      </c>
      <c r="B216" s="17" t="s">
        <v>85</v>
      </c>
      <c r="C216" s="53">
        <v>0.17506096609467092</v>
      </c>
      <c r="D216" s="22">
        <v>6.9444444444444447E-4</v>
      </c>
    </row>
    <row r="217" spans="1:4" x14ac:dyDescent="0.25">
      <c r="A217" s="17" t="s">
        <v>63</v>
      </c>
      <c r="B217" s="17" t="s">
        <v>86</v>
      </c>
      <c r="C217" s="51">
        <v>0.16406935645939413</v>
      </c>
      <c r="D217" s="19">
        <v>6.9444444444444447E-4</v>
      </c>
    </row>
    <row r="218" spans="1:4" x14ac:dyDescent="0.25">
      <c r="A218" s="17" t="s">
        <v>63</v>
      </c>
      <c r="B218" s="17" t="s">
        <v>87</v>
      </c>
      <c r="C218" s="53">
        <v>0.10888878422500772</v>
      </c>
      <c r="D218" s="22">
        <v>6.9444444444444447E-4</v>
      </c>
    </row>
    <row r="219" spans="1:4" x14ac:dyDescent="0.25">
      <c r="A219" s="17" t="s">
        <v>64</v>
      </c>
      <c r="B219" s="17" t="s">
        <v>55</v>
      </c>
      <c r="C219" s="51">
        <v>0.11272853999320188</v>
      </c>
      <c r="D219" s="19">
        <v>6.9444444444444447E-4</v>
      </c>
    </row>
    <row r="220" spans="1:4" x14ac:dyDescent="0.25">
      <c r="A220" s="17" t="s">
        <v>64</v>
      </c>
      <c r="B220" s="17" t="s">
        <v>57</v>
      </c>
      <c r="C220" s="53">
        <v>4.2656194977987449E-2</v>
      </c>
      <c r="D220" s="22">
        <v>6.9444444444444447E-4</v>
      </c>
    </row>
    <row r="221" spans="1:4" x14ac:dyDescent="0.25">
      <c r="A221" s="17" t="s">
        <v>64</v>
      </c>
      <c r="B221" s="17" t="s">
        <v>59</v>
      </c>
      <c r="C221" s="51">
        <v>6.5529389810981165E-2</v>
      </c>
      <c r="D221" s="19">
        <v>6.9444444444444447E-4</v>
      </c>
    </row>
    <row r="222" spans="1:4" x14ac:dyDescent="0.25">
      <c r="A222" s="17" t="s">
        <v>64</v>
      </c>
      <c r="B222" s="17" t="s">
        <v>60</v>
      </c>
      <c r="C222" s="53">
        <v>7.5664206141209583E-2</v>
      </c>
      <c r="D222" s="22">
        <v>6.9444444444444447E-4</v>
      </c>
    </row>
    <row r="223" spans="1:4" x14ac:dyDescent="0.25">
      <c r="A223" s="17" t="s">
        <v>64</v>
      </c>
      <c r="B223" s="17" t="s">
        <v>61</v>
      </c>
      <c r="C223" s="51">
        <v>3.1885081292039895E-2</v>
      </c>
      <c r="D223" s="19">
        <v>6.9444444444444447E-4</v>
      </c>
    </row>
    <row r="224" spans="1:4" x14ac:dyDescent="0.25">
      <c r="A224" s="17" t="s">
        <v>64</v>
      </c>
      <c r="B224" s="17" t="s">
        <v>62</v>
      </c>
      <c r="C224" s="53">
        <v>3.7510191921660753E-2</v>
      </c>
      <c r="D224" s="22">
        <v>6.9444444444444447E-4</v>
      </c>
    </row>
    <row r="225" spans="1:4" x14ac:dyDescent="0.25">
      <c r="A225" s="17" t="s">
        <v>64</v>
      </c>
      <c r="B225" s="17" t="s">
        <v>63</v>
      </c>
      <c r="C225" s="51">
        <v>8.6822829002513716E-2</v>
      </c>
      <c r="D225" s="19">
        <v>6.9444444444444447E-4</v>
      </c>
    </row>
    <row r="226" spans="1:4" x14ac:dyDescent="0.25">
      <c r="A226" s="17" t="s">
        <v>64</v>
      </c>
      <c r="B226" s="17" t="s">
        <v>64</v>
      </c>
      <c r="C226" s="53">
        <v>0</v>
      </c>
      <c r="D226" s="22">
        <v>0</v>
      </c>
    </row>
    <row r="227" spans="1:4" x14ac:dyDescent="0.25">
      <c r="A227" s="17" t="s">
        <v>64</v>
      </c>
      <c r="B227" s="17" t="s">
        <v>65</v>
      </c>
      <c r="C227" s="51">
        <v>4.5851894813627003E-2</v>
      </c>
      <c r="D227" s="19">
        <v>6.9444444444444447E-4</v>
      </c>
    </row>
    <row r="228" spans="1:4" x14ac:dyDescent="0.25">
      <c r="A228" s="17" t="s">
        <v>64</v>
      </c>
      <c r="B228" s="17" t="s">
        <v>66</v>
      </c>
      <c r="C228" s="53">
        <v>1.7002027232068794E-2</v>
      </c>
      <c r="D228" s="22">
        <v>6.9444444444444447E-4</v>
      </c>
    </row>
    <row r="229" spans="1:4" x14ac:dyDescent="0.25">
      <c r="A229" s="17" t="s">
        <v>64</v>
      </c>
      <c r="B229" s="17" t="s">
        <v>67</v>
      </c>
      <c r="C229" s="51">
        <v>6.0792048838644329E-2</v>
      </c>
      <c r="D229" s="19">
        <v>6.9444444444444447E-4</v>
      </c>
    </row>
    <row r="230" spans="1:4" x14ac:dyDescent="0.25">
      <c r="A230" s="17" t="s">
        <v>64</v>
      </c>
      <c r="B230" s="17" t="s">
        <v>68</v>
      </c>
      <c r="C230" s="53">
        <v>4.7026650667469035E-2</v>
      </c>
      <c r="D230" s="22">
        <v>6.9444444444444447E-4</v>
      </c>
    </row>
    <row r="231" spans="1:4" x14ac:dyDescent="0.25">
      <c r="A231" s="17" t="s">
        <v>64</v>
      </c>
      <c r="B231" s="17" t="s">
        <v>69</v>
      </c>
      <c r="C231" s="51">
        <v>2.9764829665229572E-2</v>
      </c>
      <c r="D231" s="19">
        <v>6.9444444444444447E-4</v>
      </c>
    </row>
    <row r="232" spans="1:4" x14ac:dyDescent="0.25">
      <c r="A232" s="17" t="s">
        <v>64</v>
      </c>
      <c r="B232" s="17" t="s">
        <v>70</v>
      </c>
      <c r="C232" s="53">
        <v>0.10352732712187655</v>
      </c>
      <c r="D232" s="22">
        <v>6.9444444444444447E-4</v>
      </c>
    </row>
    <row r="233" spans="1:4" x14ac:dyDescent="0.25">
      <c r="A233" s="17" t="s">
        <v>64</v>
      </c>
      <c r="B233" s="17" t="s">
        <v>71</v>
      </c>
      <c r="C233" s="51">
        <v>4.7281366826687085E-2</v>
      </c>
      <c r="D233" s="19">
        <v>6.9444444444444447E-4</v>
      </c>
    </row>
    <row r="234" spans="1:4" x14ac:dyDescent="0.25">
      <c r="A234" s="17" t="s">
        <v>64</v>
      </c>
      <c r="B234" s="17" t="s">
        <v>72</v>
      </c>
      <c r="C234" s="53">
        <v>0.1202832019028426</v>
      </c>
      <c r="D234" s="22">
        <v>6.9444444444444447E-4</v>
      </c>
    </row>
    <row r="235" spans="1:4" x14ac:dyDescent="0.25">
      <c r="A235" s="17" t="s">
        <v>64</v>
      </c>
      <c r="B235" s="17" t="s">
        <v>73</v>
      </c>
      <c r="C235" s="51">
        <v>3.7295752519555192E-2</v>
      </c>
      <c r="D235" s="19">
        <v>6.9444444444444447E-4</v>
      </c>
    </row>
    <row r="236" spans="1:4" x14ac:dyDescent="0.25">
      <c r="A236" s="17" t="s">
        <v>64</v>
      </c>
      <c r="B236" s="17" t="s">
        <v>74</v>
      </c>
      <c r="C236" s="53">
        <v>2.7755349412322522E-2</v>
      </c>
      <c r="D236" s="22">
        <v>6.9444444444444447E-4</v>
      </c>
    </row>
    <row r="237" spans="1:4" x14ac:dyDescent="0.25">
      <c r="A237" s="17" t="s">
        <v>64</v>
      </c>
      <c r="B237" s="17" t="s">
        <v>75</v>
      </c>
      <c r="C237" s="51">
        <v>0.15939926579818581</v>
      </c>
      <c r="D237" s="19">
        <v>6.9444444444444447E-4</v>
      </c>
    </row>
    <row r="238" spans="1:4" x14ac:dyDescent="0.25">
      <c r="A238" s="17" t="s">
        <v>64</v>
      </c>
      <c r="B238" s="17" t="s">
        <v>76</v>
      </c>
      <c r="C238" s="53">
        <v>0.15263393096556049</v>
      </c>
      <c r="D238" s="22">
        <v>6.9444444444444447E-4</v>
      </c>
    </row>
    <row r="239" spans="1:4" x14ac:dyDescent="0.25">
      <c r="A239" s="17" t="s">
        <v>64</v>
      </c>
      <c r="B239" s="17" t="s">
        <v>77</v>
      </c>
      <c r="C239" s="51">
        <v>5.685000314863857E-2</v>
      </c>
      <c r="D239" s="19">
        <v>6.9444444444444447E-4</v>
      </c>
    </row>
    <row r="240" spans="1:4" x14ac:dyDescent="0.25">
      <c r="A240" s="17" t="s">
        <v>64</v>
      </c>
      <c r="B240" s="17" t="s">
        <v>78</v>
      </c>
      <c r="C240" s="53">
        <v>6.6869890638466711E-2</v>
      </c>
      <c r="D240" s="22">
        <v>6.9444444444444447E-4</v>
      </c>
    </row>
    <row r="241" spans="1:4" x14ac:dyDescent="0.25">
      <c r="A241" s="17" t="s">
        <v>64</v>
      </c>
      <c r="B241" s="17" t="s">
        <v>79</v>
      </c>
      <c r="C241" s="51">
        <v>0.1252308166586798</v>
      </c>
      <c r="D241" s="19">
        <v>6.9444444444444447E-4</v>
      </c>
    </row>
    <row r="242" spans="1:4" x14ac:dyDescent="0.25">
      <c r="A242" s="17" t="s">
        <v>64</v>
      </c>
      <c r="B242" s="17" t="s">
        <v>80</v>
      </c>
      <c r="C242" s="53">
        <v>0.1247176078346611</v>
      </c>
      <c r="D242" s="22">
        <v>6.9444444444444447E-4</v>
      </c>
    </row>
    <row r="243" spans="1:4" x14ac:dyDescent="0.25">
      <c r="A243" s="17" t="s">
        <v>64</v>
      </c>
      <c r="B243" s="17" t="s">
        <v>81</v>
      </c>
      <c r="C243" s="51">
        <v>9.6312201947623091E-2</v>
      </c>
      <c r="D243" s="19">
        <v>6.9444444444444447E-4</v>
      </c>
    </row>
    <row r="244" spans="1:4" x14ac:dyDescent="0.25">
      <c r="A244" s="17" t="s">
        <v>64</v>
      </c>
      <c r="B244" s="17" t="s">
        <v>82</v>
      </c>
      <c r="C244" s="53">
        <v>6.6814751140752277E-2</v>
      </c>
      <c r="D244" s="22">
        <v>6.9444444444444447E-4</v>
      </c>
    </row>
    <row r="245" spans="1:4" x14ac:dyDescent="0.25">
      <c r="A245" s="17" t="s">
        <v>64</v>
      </c>
      <c r="B245" s="17" t="s">
        <v>83</v>
      </c>
      <c r="C245" s="51">
        <v>5.9611930525697306E-2</v>
      </c>
      <c r="D245" s="19">
        <v>6.9444444444444447E-4</v>
      </c>
    </row>
    <row r="246" spans="1:4" x14ac:dyDescent="0.25">
      <c r="A246" s="17" t="s">
        <v>64</v>
      </c>
      <c r="B246" s="17" t="s">
        <v>84</v>
      </c>
      <c r="C246" s="53">
        <v>4.4601920866707938E-2</v>
      </c>
      <c r="D246" s="22">
        <v>6.9444444444444447E-4</v>
      </c>
    </row>
    <row r="247" spans="1:4" x14ac:dyDescent="0.25">
      <c r="A247" s="17" t="s">
        <v>64</v>
      </c>
      <c r="B247" s="17" t="s">
        <v>85</v>
      </c>
      <c r="C247" s="51">
        <v>8.8621085357830892E-2</v>
      </c>
      <c r="D247" s="19">
        <v>6.9444444444444447E-4</v>
      </c>
    </row>
    <row r="248" spans="1:4" x14ac:dyDescent="0.25">
      <c r="A248" s="17" t="s">
        <v>64</v>
      </c>
      <c r="B248" s="17" t="s">
        <v>86</v>
      </c>
      <c r="C248" s="53">
        <v>7.8055301197292828E-2</v>
      </c>
      <c r="D248" s="22">
        <v>6.9444444444444447E-4</v>
      </c>
    </row>
    <row r="249" spans="1:4" x14ac:dyDescent="0.25">
      <c r="A249" s="17" t="s">
        <v>64</v>
      </c>
      <c r="B249" s="17" t="s">
        <v>87</v>
      </c>
      <c r="C249" s="51">
        <v>2.779818256649216E-2</v>
      </c>
      <c r="D249" s="19">
        <v>6.9444444444444447E-4</v>
      </c>
    </row>
    <row r="250" spans="1:4" x14ac:dyDescent="0.25">
      <c r="A250" s="17" t="s">
        <v>65</v>
      </c>
      <c r="B250" s="17" t="s">
        <v>55</v>
      </c>
      <c r="C250" s="53">
        <v>7.0160480678223294E-2</v>
      </c>
      <c r="D250" s="22">
        <v>6.9444444444444447E-4</v>
      </c>
    </row>
    <row r="251" spans="1:4" x14ac:dyDescent="0.25">
      <c r="A251" s="17" t="s">
        <v>65</v>
      </c>
      <c r="B251" s="17" t="s">
        <v>57</v>
      </c>
      <c r="C251" s="51">
        <v>1.7552905286585256E-2</v>
      </c>
      <c r="D251" s="19">
        <v>6.9444444444444447E-4</v>
      </c>
    </row>
    <row r="252" spans="1:4" x14ac:dyDescent="0.25">
      <c r="A252" s="17" t="s">
        <v>65</v>
      </c>
      <c r="B252" s="17" t="s">
        <v>59</v>
      </c>
      <c r="C252" s="53">
        <v>3.1313935060926543E-2</v>
      </c>
      <c r="D252" s="22">
        <v>6.9444444444444447E-4</v>
      </c>
    </row>
    <row r="253" spans="1:4" x14ac:dyDescent="0.25">
      <c r="A253" s="17" t="s">
        <v>65</v>
      </c>
      <c r="B253" s="17" t="s">
        <v>60</v>
      </c>
      <c r="C253" s="51">
        <v>3.1043583468728E-2</v>
      </c>
      <c r="D253" s="19">
        <v>6.9444444444444447E-4</v>
      </c>
    </row>
    <row r="254" spans="1:4" x14ac:dyDescent="0.25">
      <c r="A254" s="17" t="s">
        <v>65</v>
      </c>
      <c r="B254" s="17" t="s">
        <v>61</v>
      </c>
      <c r="C254" s="53">
        <v>1.6383234265551577E-2</v>
      </c>
      <c r="D254" s="22">
        <v>6.9444444444444447E-4</v>
      </c>
    </row>
    <row r="255" spans="1:4" x14ac:dyDescent="0.25">
      <c r="A255" s="17" t="s">
        <v>65</v>
      </c>
      <c r="B255" s="17" t="s">
        <v>62</v>
      </c>
      <c r="C255" s="51">
        <v>3.7369814235556548E-2</v>
      </c>
      <c r="D255" s="19">
        <v>6.9444444444444447E-4</v>
      </c>
    </row>
    <row r="256" spans="1:4" x14ac:dyDescent="0.25">
      <c r="A256" s="17" t="s">
        <v>65</v>
      </c>
      <c r="B256" s="17" t="s">
        <v>63</v>
      </c>
      <c r="C256" s="53">
        <v>4.764035325225794E-2</v>
      </c>
      <c r="D256" s="22">
        <v>6.9444444444444447E-4</v>
      </c>
    </row>
    <row r="257" spans="1:4" x14ac:dyDescent="0.25">
      <c r="A257" s="17" t="s">
        <v>65</v>
      </c>
      <c r="B257" s="17" t="s">
        <v>64</v>
      </c>
      <c r="C257" s="51">
        <v>4.5851894813627003E-2</v>
      </c>
      <c r="D257" s="19">
        <v>6.9444444444444447E-4</v>
      </c>
    </row>
    <row r="258" spans="1:4" x14ac:dyDescent="0.25">
      <c r="A258" s="17" t="s">
        <v>65</v>
      </c>
      <c r="B258" s="17" t="s">
        <v>65</v>
      </c>
      <c r="C258" s="53">
        <v>0</v>
      </c>
      <c r="D258" s="22">
        <v>0</v>
      </c>
    </row>
    <row r="259" spans="1:4" x14ac:dyDescent="0.25">
      <c r="A259" s="17" t="s">
        <v>65</v>
      </c>
      <c r="B259" s="17" t="s">
        <v>66</v>
      </c>
      <c r="C259" s="51">
        <v>3.8195453603797475E-2</v>
      </c>
      <c r="D259" s="19">
        <v>6.9444444444444447E-4</v>
      </c>
    </row>
    <row r="260" spans="1:4" x14ac:dyDescent="0.25">
      <c r="A260" s="17" t="s">
        <v>65</v>
      </c>
      <c r="B260" s="17" t="s">
        <v>67</v>
      </c>
      <c r="C260" s="53">
        <v>5.4085458674214944E-2</v>
      </c>
      <c r="D260" s="22">
        <v>6.9444444444444447E-4</v>
      </c>
    </row>
    <row r="261" spans="1:4" x14ac:dyDescent="0.25">
      <c r="A261" s="17" t="s">
        <v>65</v>
      </c>
      <c r="B261" s="17" t="s">
        <v>68</v>
      </c>
      <c r="C261" s="51">
        <v>6.0909006731353493E-2</v>
      </c>
      <c r="D261" s="19">
        <v>6.9444444444444447E-4</v>
      </c>
    </row>
    <row r="262" spans="1:4" x14ac:dyDescent="0.25">
      <c r="A262" s="17" t="s">
        <v>65</v>
      </c>
      <c r="B262" s="17" t="s">
        <v>69</v>
      </c>
      <c r="C262" s="53">
        <v>5.5827191376605051E-2</v>
      </c>
      <c r="D262" s="22">
        <v>6.9444444444444447E-4</v>
      </c>
    </row>
    <row r="263" spans="1:4" x14ac:dyDescent="0.25">
      <c r="A263" s="17" t="s">
        <v>65</v>
      </c>
      <c r="B263" s="17" t="s">
        <v>70</v>
      </c>
      <c r="C263" s="51">
        <v>0.14929654112872054</v>
      </c>
      <c r="D263" s="19">
        <v>6.9444444444444447E-4</v>
      </c>
    </row>
    <row r="264" spans="1:4" x14ac:dyDescent="0.25">
      <c r="A264" s="17" t="s">
        <v>65</v>
      </c>
      <c r="B264" s="17" t="s">
        <v>71</v>
      </c>
      <c r="C264" s="53">
        <v>8.5649121565837177E-2</v>
      </c>
      <c r="D264" s="22">
        <v>6.9444444444444447E-4</v>
      </c>
    </row>
    <row r="265" spans="1:4" x14ac:dyDescent="0.25">
      <c r="A265" s="17" t="s">
        <v>65</v>
      </c>
      <c r="B265" s="17" t="s">
        <v>72</v>
      </c>
      <c r="C265" s="51">
        <v>0.16427703879118202</v>
      </c>
      <c r="D265" s="19">
        <v>6.9444444444444447E-4</v>
      </c>
    </row>
    <row r="266" spans="1:4" x14ac:dyDescent="0.25">
      <c r="A266" s="17" t="s">
        <v>65</v>
      </c>
      <c r="B266" s="17" t="s">
        <v>73</v>
      </c>
      <c r="C266" s="53">
        <v>7.9763101306304221E-2</v>
      </c>
      <c r="D266" s="22">
        <v>6.9444444444444447E-4</v>
      </c>
    </row>
    <row r="267" spans="1:4" x14ac:dyDescent="0.25">
      <c r="A267" s="17" t="s">
        <v>65</v>
      </c>
      <c r="B267" s="17" t="s">
        <v>74</v>
      </c>
      <c r="C267" s="51">
        <v>6.7754699563941312E-2</v>
      </c>
      <c r="D267" s="19">
        <v>6.9444444444444447E-4</v>
      </c>
    </row>
    <row r="268" spans="1:4" x14ac:dyDescent="0.25">
      <c r="A268" s="17" t="s">
        <v>65</v>
      </c>
      <c r="B268" s="17" t="s">
        <v>75</v>
      </c>
      <c r="C268" s="53">
        <v>0.20418013192522053</v>
      </c>
      <c r="D268" s="22">
        <v>6.9444444444444447E-4</v>
      </c>
    </row>
    <row r="269" spans="1:4" x14ac:dyDescent="0.25">
      <c r="A269" s="17" t="s">
        <v>65</v>
      </c>
      <c r="B269" s="17" t="s">
        <v>76</v>
      </c>
      <c r="C269" s="51">
        <v>0.19760317196846527</v>
      </c>
      <c r="D269" s="19">
        <v>6.9444444444444447E-4</v>
      </c>
    </row>
    <row r="270" spans="1:4" x14ac:dyDescent="0.25">
      <c r="A270" s="17" t="s">
        <v>65</v>
      </c>
      <c r="B270" s="17" t="s">
        <v>77</v>
      </c>
      <c r="C270" s="53">
        <v>9.8411867678650483E-2</v>
      </c>
      <c r="D270" s="22">
        <v>6.9444444444444447E-4</v>
      </c>
    </row>
    <row r="271" spans="1:4" x14ac:dyDescent="0.25">
      <c r="A271" s="17" t="s">
        <v>65</v>
      </c>
      <c r="B271" s="17" t="s">
        <v>78</v>
      </c>
      <c r="C271" s="51">
        <v>0.10014609977428195</v>
      </c>
      <c r="D271" s="19">
        <v>6.9444444444444447E-4</v>
      </c>
    </row>
    <row r="272" spans="1:4" x14ac:dyDescent="0.25">
      <c r="A272" s="17" t="s">
        <v>65</v>
      </c>
      <c r="B272" s="17" t="s">
        <v>79</v>
      </c>
      <c r="C272" s="53">
        <v>0.17012220693665897</v>
      </c>
      <c r="D272" s="22">
        <v>6.9444444444444447E-4</v>
      </c>
    </row>
    <row r="273" spans="1:4" x14ac:dyDescent="0.25">
      <c r="A273" s="17" t="s">
        <v>65</v>
      </c>
      <c r="B273" s="17" t="s">
        <v>80</v>
      </c>
      <c r="C273" s="51">
        <v>0.17023861973712093</v>
      </c>
      <c r="D273" s="19">
        <v>6.9444444444444447E-4</v>
      </c>
    </row>
    <row r="274" spans="1:4" x14ac:dyDescent="0.25">
      <c r="A274" s="17" t="s">
        <v>65</v>
      </c>
      <c r="B274" s="17" t="s">
        <v>81</v>
      </c>
      <c r="C274" s="53">
        <v>9.0544457643746148E-2</v>
      </c>
      <c r="D274" s="22">
        <v>6.9444444444444447E-4</v>
      </c>
    </row>
    <row r="275" spans="1:4" x14ac:dyDescent="0.25">
      <c r="A275" s="17" t="s">
        <v>65</v>
      </c>
      <c r="B275" s="17" t="s">
        <v>82</v>
      </c>
      <c r="C275" s="51">
        <v>0.10778761702533843</v>
      </c>
      <c r="D275" s="19">
        <v>6.9444444444444447E-4</v>
      </c>
    </row>
    <row r="276" spans="1:4" x14ac:dyDescent="0.25">
      <c r="A276" s="17" t="s">
        <v>65</v>
      </c>
      <c r="B276" s="17" t="s">
        <v>83</v>
      </c>
      <c r="C276" s="53">
        <v>8.2574835664388418E-2</v>
      </c>
      <c r="D276" s="22">
        <v>6.9444444444444447E-4</v>
      </c>
    </row>
    <row r="277" spans="1:4" x14ac:dyDescent="0.25">
      <c r="A277" s="17" t="s">
        <v>65</v>
      </c>
      <c r="B277" s="17" t="s">
        <v>84</v>
      </c>
      <c r="C277" s="51">
        <v>9.0445720235951405E-2</v>
      </c>
      <c r="D277" s="19">
        <v>6.9444444444444447E-4</v>
      </c>
    </row>
    <row r="278" spans="1:4" x14ac:dyDescent="0.25">
      <c r="A278" s="17" t="s">
        <v>65</v>
      </c>
      <c r="B278" s="17" t="s">
        <v>85</v>
      </c>
      <c r="C278" s="53">
        <v>0.13041930556478212</v>
      </c>
      <c r="D278" s="22">
        <v>6.9444444444444447E-4</v>
      </c>
    </row>
    <row r="279" spans="1:4" x14ac:dyDescent="0.25">
      <c r="A279" s="17" t="s">
        <v>65</v>
      </c>
      <c r="B279" s="17" t="s">
        <v>86</v>
      </c>
      <c r="C279" s="51">
        <v>0.11898760399722309</v>
      </c>
      <c r="D279" s="19">
        <v>6.9444444444444447E-4</v>
      </c>
    </row>
    <row r="280" spans="1:4" x14ac:dyDescent="0.25">
      <c r="A280" s="17" t="s">
        <v>65</v>
      </c>
      <c r="B280" s="17" t="s">
        <v>87</v>
      </c>
      <c r="C280" s="53">
        <v>6.2886904073903294E-2</v>
      </c>
      <c r="D280" s="22">
        <v>6.9444444444444447E-4</v>
      </c>
    </row>
    <row r="281" spans="1:4" x14ac:dyDescent="0.25">
      <c r="A281" s="17" t="s">
        <v>66</v>
      </c>
      <c r="B281" s="17" t="s">
        <v>55</v>
      </c>
      <c r="C281" s="51">
        <v>9.9535606317533151E-2</v>
      </c>
      <c r="D281" s="19">
        <v>6.9444444444444447E-4</v>
      </c>
    </row>
    <row r="282" spans="1:4" x14ac:dyDescent="0.25">
      <c r="A282" s="17" t="s">
        <v>66</v>
      </c>
      <c r="B282" s="17" t="s">
        <v>57</v>
      </c>
      <c r="C282" s="53">
        <v>2.9362944402768459E-2</v>
      </c>
      <c r="D282" s="22">
        <v>6.9444444444444447E-4</v>
      </c>
    </row>
    <row r="283" spans="1:4" x14ac:dyDescent="0.25">
      <c r="A283" s="17" t="s">
        <v>66</v>
      </c>
      <c r="B283" s="17" t="s">
        <v>59</v>
      </c>
      <c r="C283" s="51">
        <v>6.4464724501074752E-2</v>
      </c>
      <c r="D283" s="19">
        <v>6.9444444444444447E-4</v>
      </c>
    </row>
    <row r="284" spans="1:4" x14ac:dyDescent="0.25">
      <c r="A284" s="17" t="s">
        <v>66</v>
      </c>
      <c r="B284" s="17" t="s">
        <v>60</v>
      </c>
      <c r="C284" s="53">
        <v>6.9239034613283401E-2</v>
      </c>
      <c r="D284" s="22">
        <v>6.9444444444444447E-4</v>
      </c>
    </row>
    <row r="285" spans="1:4" x14ac:dyDescent="0.25">
      <c r="A285" s="17" t="s">
        <v>66</v>
      </c>
      <c r="B285" s="17" t="s">
        <v>61</v>
      </c>
      <c r="C285" s="51">
        <v>2.1911288346420435E-2</v>
      </c>
      <c r="D285" s="19">
        <v>6.9444444444444447E-4</v>
      </c>
    </row>
    <row r="286" spans="1:4" x14ac:dyDescent="0.25">
      <c r="A286" s="17" t="s">
        <v>66</v>
      </c>
      <c r="B286" s="17" t="s">
        <v>62</v>
      </c>
      <c r="C286" s="53">
        <v>4.5100830191913056E-2</v>
      </c>
      <c r="D286" s="22">
        <v>6.9444444444444447E-4</v>
      </c>
    </row>
    <row r="287" spans="1:4" x14ac:dyDescent="0.25">
      <c r="A287" s="17" t="s">
        <v>66</v>
      </c>
      <c r="B287" s="17" t="s">
        <v>63</v>
      </c>
      <c r="C287" s="51">
        <v>7.2786981102389819E-2</v>
      </c>
      <c r="D287" s="19">
        <v>6.9444444444444447E-4</v>
      </c>
    </row>
    <row r="288" spans="1:4" x14ac:dyDescent="0.25">
      <c r="A288" s="17" t="s">
        <v>66</v>
      </c>
      <c r="B288" s="17" t="s">
        <v>64</v>
      </c>
      <c r="C288" s="53">
        <v>1.7002027232068794E-2</v>
      </c>
      <c r="D288" s="22">
        <v>6.9444444444444447E-4</v>
      </c>
    </row>
    <row r="289" spans="1:4" x14ac:dyDescent="0.25">
      <c r="A289" s="17" t="s">
        <v>66</v>
      </c>
      <c r="B289" s="17" t="s">
        <v>65</v>
      </c>
      <c r="C289" s="51">
        <v>3.8195453603797475E-2</v>
      </c>
      <c r="D289" s="19">
        <v>6.9444444444444447E-4</v>
      </c>
    </row>
    <row r="290" spans="1:4" x14ac:dyDescent="0.25">
      <c r="A290" s="17" t="s">
        <v>66</v>
      </c>
      <c r="B290" s="17" t="s">
        <v>66</v>
      </c>
      <c r="C290" s="53">
        <v>0</v>
      </c>
      <c r="D290" s="22">
        <v>0</v>
      </c>
    </row>
    <row r="291" spans="1:4" x14ac:dyDescent="0.25">
      <c r="A291" s="17" t="s">
        <v>66</v>
      </c>
      <c r="B291" s="17" t="s">
        <v>67</v>
      </c>
      <c r="C291" s="51">
        <v>6.9045752512374658E-2</v>
      </c>
      <c r="D291" s="19">
        <v>6.9444444444444447E-4</v>
      </c>
    </row>
    <row r="292" spans="1:4" x14ac:dyDescent="0.25">
      <c r="A292" s="17" t="s">
        <v>66</v>
      </c>
      <c r="B292" s="17" t="s">
        <v>68</v>
      </c>
      <c r="C292" s="53">
        <v>3.3132021203062009E-2</v>
      </c>
      <c r="D292" s="22">
        <v>6.9444444444444447E-4</v>
      </c>
    </row>
    <row r="293" spans="1:4" x14ac:dyDescent="0.25">
      <c r="A293" s="17" t="s">
        <v>66</v>
      </c>
      <c r="B293" s="17" t="s">
        <v>69</v>
      </c>
      <c r="C293" s="51">
        <v>1.9830708030731534E-2</v>
      </c>
      <c r="D293" s="19">
        <v>6.9444444444444447E-4</v>
      </c>
    </row>
    <row r="294" spans="1:4" x14ac:dyDescent="0.25">
      <c r="A294" s="17" t="s">
        <v>66</v>
      </c>
      <c r="B294" s="17" t="s">
        <v>70</v>
      </c>
      <c r="C294" s="53">
        <v>0.11359475720736487</v>
      </c>
      <c r="D294" s="22">
        <v>6.9444444444444447E-4</v>
      </c>
    </row>
    <row r="295" spans="1:4" x14ac:dyDescent="0.25">
      <c r="A295" s="17" t="s">
        <v>66</v>
      </c>
      <c r="B295" s="17" t="s">
        <v>71</v>
      </c>
      <c r="C295" s="51">
        <v>4.7524881662134984E-2</v>
      </c>
      <c r="D295" s="19">
        <v>6.9444444444444447E-4</v>
      </c>
    </row>
    <row r="296" spans="1:4" x14ac:dyDescent="0.25">
      <c r="A296" s="17" t="s">
        <v>66</v>
      </c>
      <c r="B296" s="17" t="s">
        <v>72</v>
      </c>
      <c r="C296" s="53">
        <v>0.12644796919682061</v>
      </c>
      <c r="D296" s="22">
        <v>6.9444444444444447E-4</v>
      </c>
    </row>
    <row r="297" spans="1:4" x14ac:dyDescent="0.25">
      <c r="A297" s="17" t="s">
        <v>66</v>
      </c>
      <c r="B297" s="17" t="s">
        <v>73</v>
      </c>
      <c r="C297" s="51">
        <v>4.1987438145236429E-2</v>
      </c>
      <c r="D297" s="19">
        <v>6.9444444444444447E-4</v>
      </c>
    </row>
    <row r="298" spans="1:4" x14ac:dyDescent="0.25">
      <c r="A298" s="17" t="s">
        <v>66</v>
      </c>
      <c r="B298" s="17" t="s">
        <v>74</v>
      </c>
      <c r="C298" s="53">
        <v>2.9704596698155717E-2</v>
      </c>
      <c r="D298" s="22">
        <v>6.9444444444444447E-4</v>
      </c>
    </row>
    <row r="299" spans="1:4" x14ac:dyDescent="0.25">
      <c r="A299" s="17" t="s">
        <v>66</v>
      </c>
      <c r="B299" s="17" t="s">
        <v>75</v>
      </c>
      <c r="C299" s="51">
        <v>0.16669118810843303</v>
      </c>
      <c r="D299" s="19">
        <v>6.9444444444444447E-4</v>
      </c>
    </row>
    <row r="300" spans="1:4" x14ac:dyDescent="0.25">
      <c r="A300" s="17" t="s">
        <v>66</v>
      </c>
      <c r="B300" s="17" t="s">
        <v>76</v>
      </c>
      <c r="C300" s="53">
        <v>0.16027854746034995</v>
      </c>
      <c r="D300" s="22">
        <v>6.9444444444444447E-4</v>
      </c>
    </row>
    <row r="301" spans="1:4" x14ac:dyDescent="0.25">
      <c r="A301" s="17" t="s">
        <v>66</v>
      </c>
      <c r="B301" s="17" t="s">
        <v>77</v>
      </c>
      <c r="C301" s="51">
        <v>6.0268416737130015E-2</v>
      </c>
      <c r="D301" s="19">
        <v>6.9444444444444447E-4</v>
      </c>
    </row>
    <row r="302" spans="1:4" x14ac:dyDescent="0.25">
      <c r="A302" s="17" t="s">
        <v>66</v>
      </c>
      <c r="B302" s="17" t="s">
        <v>78</v>
      </c>
      <c r="C302" s="53">
        <v>6.3415597072018132E-2</v>
      </c>
      <c r="D302" s="22">
        <v>6.9444444444444447E-4</v>
      </c>
    </row>
    <row r="303" spans="1:4" x14ac:dyDescent="0.25">
      <c r="A303" s="17" t="s">
        <v>66</v>
      </c>
      <c r="B303" s="17" t="s">
        <v>79</v>
      </c>
      <c r="C303" s="51">
        <v>0.13280334252194115</v>
      </c>
      <c r="D303" s="19">
        <v>6.9444444444444447E-4</v>
      </c>
    </row>
    <row r="304" spans="1:4" x14ac:dyDescent="0.25">
      <c r="A304" s="17" t="s">
        <v>66</v>
      </c>
      <c r="B304" s="17" t="s">
        <v>80</v>
      </c>
      <c r="C304" s="53">
        <v>0.13371260904641896</v>
      </c>
      <c r="D304" s="22">
        <v>6.9444444444444447E-4</v>
      </c>
    </row>
    <row r="305" spans="1:4" x14ac:dyDescent="0.25">
      <c r="A305" s="17" t="s">
        <v>66</v>
      </c>
      <c r="B305" s="17" t="s">
        <v>81</v>
      </c>
      <c r="C305" s="51">
        <v>0.10634071119754508</v>
      </c>
      <c r="D305" s="19">
        <v>6.9444444444444447E-4</v>
      </c>
    </row>
    <row r="306" spans="1:4" x14ac:dyDescent="0.25">
      <c r="A306" s="17" t="s">
        <v>66</v>
      </c>
      <c r="B306" s="17" t="s">
        <v>82</v>
      </c>
      <c r="C306" s="53">
        <v>8.3090779295905429E-2</v>
      </c>
      <c r="D306" s="22">
        <v>6.9444444444444447E-4</v>
      </c>
    </row>
    <row r="307" spans="1:4" x14ac:dyDescent="0.25">
      <c r="A307" s="17" t="s">
        <v>66</v>
      </c>
      <c r="B307" s="17" t="s">
        <v>83</v>
      </c>
      <c r="C307" s="51">
        <v>7.5417635450872642E-2</v>
      </c>
      <c r="D307" s="19">
        <v>6.9444444444444447E-4</v>
      </c>
    </row>
    <row r="308" spans="1:4" x14ac:dyDescent="0.25">
      <c r="A308" s="17" t="s">
        <v>66</v>
      </c>
      <c r="B308" s="17" t="s">
        <v>84</v>
      </c>
      <c r="C308" s="53">
        <v>5.6148935243691377E-2</v>
      </c>
      <c r="D308" s="22">
        <v>6.9444444444444447E-4</v>
      </c>
    </row>
    <row r="309" spans="1:4" x14ac:dyDescent="0.25">
      <c r="A309" s="17" t="s">
        <v>66</v>
      </c>
      <c r="B309" s="17" t="s">
        <v>85</v>
      </c>
      <c r="C309" s="51">
        <v>0.10443562888210124</v>
      </c>
      <c r="D309" s="19">
        <v>6.9444444444444447E-4</v>
      </c>
    </row>
    <row r="310" spans="1:4" x14ac:dyDescent="0.25">
      <c r="A310" s="17" t="s">
        <v>66</v>
      </c>
      <c r="B310" s="17" t="s">
        <v>86</v>
      </c>
      <c r="C310" s="53">
        <v>9.4238435497413814E-2</v>
      </c>
      <c r="D310" s="22">
        <v>6.9444444444444447E-4</v>
      </c>
    </row>
    <row r="311" spans="1:4" x14ac:dyDescent="0.25">
      <c r="A311" s="17" t="s">
        <v>66</v>
      </c>
      <c r="B311" s="17" t="s">
        <v>87</v>
      </c>
      <c r="C311" s="51">
        <v>4.4581259246460135E-2</v>
      </c>
      <c r="D311" s="19">
        <v>6.9444444444444447E-4</v>
      </c>
    </row>
    <row r="312" spans="1:4" x14ac:dyDescent="0.25">
      <c r="A312" s="17" t="s">
        <v>67</v>
      </c>
      <c r="B312" s="17" t="s">
        <v>55</v>
      </c>
      <c r="C312" s="53">
        <v>0.11434936766331112</v>
      </c>
      <c r="D312" s="22">
        <v>6.9444444444444447E-4</v>
      </c>
    </row>
    <row r="313" spans="1:4" x14ac:dyDescent="0.25">
      <c r="A313" s="17" t="s">
        <v>67</v>
      </c>
      <c r="B313" s="17" t="s">
        <v>57</v>
      </c>
      <c r="C313" s="51">
        <v>6.8901362221655785E-2</v>
      </c>
      <c r="D313" s="19">
        <v>6.9444444444444447E-4</v>
      </c>
    </row>
    <row r="314" spans="1:4" x14ac:dyDescent="0.25">
      <c r="A314" s="17" t="s">
        <v>67</v>
      </c>
      <c r="B314" s="17" t="s">
        <v>59</v>
      </c>
      <c r="C314" s="53">
        <v>3.6483282815557176E-2</v>
      </c>
      <c r="D314" s="22">
        <v>6.9444444444444447E-4</v>
      </c>
    </row>
    <row r="315" spans="1:4" x14ac:dyDescent="0.25">
      <c r="A315" s="17" t="s">
        <v>67</v>
      </c>
      <c r="B315" s="17" t="s">
        <v>60</v>
      </c>
      <c r="C315" s="51">
        <v>5.9797257737957285E-2</v>
      </c>
      <c r="D315" s="19">
        <v>6.9444444444444447E-4</v>
      </c>
    </row>
    <row r="316" spans="1:4" x14ac:dyDescent="0.25">
      <c r="A316" s="17" t="s">
        <v>67</v>
      </c>
      <c r="B316" s="17" t="s">
        <v>61</v>
      </c>
      <c r="C316" s="53">
        <v>5.9195623022315111E-2</v>
      </c>
      <c r="D316" s="22">
        <v>6.9444444444444447E-4</v>
      </c>
    </row>
    <row r="317" spans="1:4" x14ac:dyDescent="0.25">
      <c r="A317" s="17" t="s">
        <v>67</v>
      </c>
      <c r="B317" s="17" t="s">
        <v>62</v>
      </c>
      <c r="C317" s="51">
        <v>2.3976469131216E-2</v>
      </c>
      <c r="D317" s="19">
        <v>6.9444444444444447E-4</v>
      </c>
    </row>
    <row r="318" spans="1:4" x14ac:dyDescent="0.25">
      <c r="A318" s="17" t="s">
        <v>67</v>
      </c>
      <c r="B318" s="17" t="s">
        <v>63</v>
      </c>
      <c r="C318" s="53">
        <v>9.8072219440574537E-2</v>
      </c>
      <c r="D318" s="22">
        <v>6.9444444444444447E-4</v>
      </c>
    </row>
    <row r="319" spans="1:4" x14ac:dyDescent="0.25">
      <c r="A319" s="17" t="s">
        <v>67</v>
      </c>
      <c r="B319" s="17" t="s">
        <v>64</v>
      </c>
      <c r="C319" s="51">
        <v>6.0792048838644329E-2</v>
      </c>
      <c r="D319" s="19">
        <v>6.9444444444444447E-4</v>
      </c>
    </row>
    <row r="320" spans="1:4" x14ac:dyDescent="0.25">
      <c r="A320" s="17" t="s">
        <v>67</v>
      </c>
      <c r="B320" s="17" t="s">
        <v>65</v>
      </c>
      <c r="C320" s="53">
        <v>5.4085458674214944E-2</v>
      </c>
      <c r="D320" s="22">
        <v>6.9444444444444447E-4</v>
      </c>
    </row>
    <row r="321" spans="1:4" x14ac:dyDescent="0.25">
      <c r="A321" s="17" t="s">
        <v>67</v>
      </c>
      <c r="B321" s="17" t="s">
        <v>66</v>
      </c>
      <c r="C321" s="51">
        <v>6.9045752512374658E-2</v>
      </c>
      <c r="D321" s="19">
        <v>6.9444444444444447E-4</v>
      </c>
    </row>
    <row r="322" spans="1:4" x14ac:dyDescent="0.25">
      <c r="A322" s="17" t="s">
        <v>67</v>
      </c>
      <c r="B322" s="17" t="s">
        <v>67</v>
      </c>
      <c r="C322" s="53">
        <v>0</v>
      </c>
      <c r="D322" s="22">
        <v>0</v>
      </c>
    </row>
    <row r="323" spans="1:4" x14ac:dyDescent="0.25">
      <c r="A323" s="17" t="s">
        <v>67</v>
      </c>
      <c r="B323" s="17" t="s">
        <v>68</v>
      </c>
      <c r="C323" s="51">
        <v>0.10171661170625299</v>
      </c>
      <c r="D323" s="19">
        <v>6.9444444444444447E-4</v>
      </c>
    </row>
    <row r="324" spans="1:4" x14ac:dyDescent="0.25">
      <c r="A324" s="17" t="s">
        <v>67</v>
      </c>
      <c r="B324" s="17" t="s">
        <v>69</v>
      </c>
      <c r="C324" s="53">
        <v>8.8132212572932786E-2</v>
      </c>
      <c r="D324" s="22">
        <v>6.9444444444444447E-4</v>
      </c>
    </row>
    <row r="325" spans="1:4" x14ac:dyDescent="0.25">
      <c r="A325" s="17" t="s">
        <v>67</v>
      </c>
      <c r="B325" s="17" t="s">
        <v>70</v>
      </c>
      <c r="C325" s="51">
        <v>0.14717580509377304</v>
      </c>
      <c r="D325" s="19">
        <v>6.9444444444444447E-4</v>
      </c>
    </row>
    <row r="326" spans="1:4" x14ac:dyDescent="0.25">
      <c r="A326" s="17" t="s">
        <v>67</v>
      </c>
      <c r="B326" s="17" t="s">
        <v>71</v>
      </c>
      <c r="C326" s="53">
        <v>0.10741843512637642</v>
      </c>
      <c r="D326" s="22">
        <v>6.9444444444444447E-4</v>
      </c>
    </row>
    <row r="327" spans="1:4" x14ac:dyDescent="0.25">
      <c r="A327" s="17" t="s">
        <v>67</v>
      </c>
      <c r="B327" s="17" t="s">
        <v>72</v>
      </c>
      <c r="C327" s="51">
        <v>0.17147458454826597</v>
      </c>
      <c r="D327" s="19">
        <v>6.9444444444444447E-4</v>
      </c>
    </row>
    <row r="328" spans="1:4" x14ac:dyDescent="0.25">
      <c r="A328" s="17" t="s">
        <v>67</v>
      </c>
      <c r="B328" s="17" t="s">
        <v>73</v>
      </c>
      <c r="C328" s="53">
        <v>9.5721067200485163E-2</v>
      </c>
      <c r="D328" s="22">
        <v>6.9444444444444447E-4</v>
      </c>
    </row>
    <row r="329" spans="1:4" x14ac:dyDescent="0.25">
      <c r="A329" s="17" t="s">
        <v>67</v>
      </c>
      <c r="B329" s="17" t="s">
        <v>74</v>
      </c>
      <c r="C329" s="51">
        <v>8.8168548842546796E-2</v>
      </c>
      <c r="D329" s="19">
        <v>6.9444444444444447E-4</v>
      </c>
    </row>
    <row r="330" spans="1:4" x14ac:dyDescent="0.25">
      <c r="A330" s="17" t="s">
        <v>67</v>
      </c>
      <c r="B330" s="17" t="s">
        <v>75</v>
      </c>
      <c r="C330" s="53">
        <v>0.20695159218764403</v>
      </c>
      <c r="D330" s="22">
        <v>6.9444444444444447E-4</v>
      </c>
    </row>
    <row r="331" spans="1:4" x14ac:dyDescent="0.25">
      <c r="A331" s="17" t="s">
        <v>67</v>
      </c>
      <c r="B331" s="17" t="s">
        <v>76</v>
      </c>
      <c r="C331" s="51">
        <v>0.19962343951550296</v>
      </c>
      <c r="D331" s="19">
        <v>6.9444444444444447E-4</v>
      </c>
    </row>
    <row r="332" spans="1:4" x14ac:dyDescent="0.25">
      <c r="A332" s="17" t="s">
        <v>67</v>
      </c>
      <c r="B332" s="17" t="s">
        <v>77</v>
      </c>
      <c r="C332" s="53">
        <v>0.11473424989949824</v>
      </c>
      <c r="D332" s="22">
        <v>6.9444444444444447E-4</v>
      </c>
    </row>
    <row r="333" spans="1:4" x14ac:dyDescent="0.25">
      <c r="A333" s="17" t="s">
        <v>67</v>
      </c>
      <c r="B333" s="17" t="s">
        <v>78</v>
      </c>
      <c r="C333" s="51">
        <v>0.12760987179682137</v>
      </c>
      <c r="D333" s="19">
        <v>6.9444444444444447E-4</v>
      </c>
    </row>
    <row r="334" spans="1:4" x14ac:dyDescent="0.25">
      <c r="A334" s="17" t="s">
        <v>67</v>
      </c>
      <c r="B334" s="17" t="s">
        <v>79</v>
      </c>
      <c r="C334" s="53">
        <v>0.17348162492033598</v>
      </c>
      <c r="D334" s="22">
        <v>6.9444444444444447E-4</v>
      </c>
    </row>
    <row r="335" spans="1:4" x14ac:dyDescent="0.25">
      <c r="A335" s="17" t="s">
        <v>67</v>
      </c>
      <c r="B335" s="17" t="s">
        <v>80</v>
      </c>
      <c r="C335" s="51">
        <v>0.16972806957601538</v>
      </c>
      <c r="D335" s="19">
        <v>6.9444444444444447E-4</v>
      </c>
    </row>
    <row r="336" spans="1:4" x14ac:dyDescent="0.25">
      <c r="A336" s="17" t="s">
        <v>67</v>
      </c>
      <c r="B336" s="17" t="s">
        <v>81</v>
      </c>
      <c r="C336" s="53">
        <v>3.7902128726495773E-2</v>
      </c>
      <c r="D336" s="22">
        <v>6.9444444444444447E-4</v>
      </c>
    </row>
    <row r="337" spans="1:4" x14ac:dyDescent="0.25">
      <c r="A337" s="17" t="s">
        <v>67</v>
      </c>
      <c r="B337" s="17" t="s">
        <v>82</v>
      </c>
      <c r="C337" s="51">
        <v>8.7585933893524703E-2</v>
      </c>
      <c r="D337" s="19">
        <v>6.9444444444444447E-4</v>
      </c>
    </row>
    <row r="338" spans="1:4" x14ac:dyDescent="0.25">
      <c r="A338" s="17" t="s">
        <v>67</v>
      </c>
      <c r="B338" s="17" t="s">
        <v>83</v>
      </c>
      <c r="C338" s="53">
        <v>4.4432951747551033E-2</v>
      </c>
      <c r="D338" s="22">
        <v>6.9444444444444447E-4</v>
      </c>
    </row>
    <row r="339" spans="1:4" x14ac:dyDescent="0.25">
      <c r="A339" s="17" t="s">
        <v>67</v>
      </c>
      <c r="B339" s="17" t="s">
        <v>84</v>
      </c>
      <c r="C339" s="51">
        <v>9.2751671904068397E-2</v>
      </c>
      <c r="D339" s="19">
        <v>6.9444444444444447E-4</v>
      </c>
    </row>
    <row r="340" spans="1:4" x14ac:dyDescent="0.25">
      <c r="A340" s="17" t="s">
        <v>67</v>
      </c>
      <c r="B340" s="17" t="s">
        <v>85</v>
      </c>
      <c r="C340" s="53">
        <v>0.10853972474629055</v>
      </c>
      <c r="D340" s="22">
        <v>6.9444444444444447E-4</v>
      </c>
    </row>
    <row r="341" spans="1:4" x14ac:dyDescent="0.25">
      <c r="A341" s="17" t="s">
        <v>67</v>
      </c>
      <c r="B341" s="17" t="s">
        <v>86</v>
      </c>
      <c r="C341" s="51">
        <v>9.6764148882734227E-2</v>
      </c>
      <c r="D341" s="19">
        <v>6.9444444444444447E-4</v>
      </c>
    </row>
    <row r="342" spans="1:4" x14ac:dyDescent="0.25">
      <c r="A342" s="17" t="s">
        <v>67</v>
      </c>
      <c r="B342" s="17" t="s">
        <v>87</v>
      </c>
      <c r="C342" s="53">
        <v>5.0814765491935865E-2</v>
      </c>
      <c r="D342" s="22">
        <v>6.9444444444444447E-4</v>
      </c>
    </row>
    <row r="343" spans="1:4" x14ac:dyDescent="0.25">
      <c r="A343" s="17" t="s">
        <v>68</v>
      </c>
      <c r="B343" s="17" t="s">
        <v>55</v>
      </c>
      <c r="C343" s="51">
        <v>0.10215311160214088</v>
      </c>
      <c r="D343" s="19">
        <v>6.9444444444444447E-4</v>
      </c>
    </row>
    <row r="344" spans="1:4" x14ac:dyDescent="0.25">
      <c r="A344" s="17" t="s">
        <v>68</v>
      </c>
      <c r="B344" s="17" t="s">
        <v>57</v>
      </c>
      <c r="C344" s="53">
        <v>4.4625732946367173E-2</v>
      </c>
      <c r="D344" s="22">
        <v>6.9444444444444447E-4</v>
      </c>
    </row>
    <row r="345" spans="1:4" x14ac:dyDescent="0.25">
      <c r="A345" s="17" t="s">
        <v>68</v>
      </c>
      <c r="B345" s="17" t="s">
        <v>59</v>
      </c>
      <c r="C345" s="51">
        <v>9.1497140611058556E-2</v>
      </c>
      <c r="D345" s="19">
        <v>6.9444444444444447E-4</v>
      </c>
    </row>
    <row r="346" spans="1:4" x14ac:dyDescent="0.25">
      <c r="A346" s="17" t="s">
        <v>68</v>
      </c>
      <c r="B346" s="17" t="s">
        <v>60</v>
      </c>
      <c r="C346" s="53">
        <v>8.9349749148947985E-2</v>
      </c>
      <c r="D346" s="22">
        <v>6.9444444444444447E-4</v>
      </c>
    </row>
    <row r="347" spans="1:4" x14ac:dyDescent="0.25">
      <c r="A347" s="17" t="s">
        <v>68</v>
      </c>
      <c r="B347" s="17" t="s">
        <v>61</v>
      </c>
      <c r="C347" s="51">
        <v>4.6452340307031437E-2</v>
      </c>
      <c r="D347" s="19">
        <v>6.9444444444444447E-4</v>
      </c>
    </row>
    <row r="348" spans="1:4" x14ac:dyDescent="0.25">
      <c r="A348" s="17" t="s">
        <v>68</v>
      </c>
      <c r="B348" s="17" t="s">
        <v>62</v>
      </c>
      <c r="C348" s="53">
        <v>7.7920019410931934E-2</v>
      </c>
      <c r="D348" s="22">
        <v>6.9444444444444447E-4</v>
      </c>
    </row>
    <row r="349" spans="1:4" x14ac:dyDescent="0.25">
      <c r="A349" s="17" t="s">
        <v>68</v>
      </c>
      <c r="B349" s="17" t="s">
        <v>63</v>
      </c>
      <c r="C349" s="51">
        <v>7.50597640883571E-2</v>
      </c>
      <c r="D349" s="19">
        <v>6.9444444444444447E-4</v>
      </c>
    </row>
    <row r="350" spans="1:4" x14ac:dyDescent="0.25">
      <c r="A350" s="17" t="s">
        <v>68</v>
      </c>
      <c r="B350" s="17" t="s">
        <v>64</v>
      </c>
      <c r="C350" s="53">
        <v>4.7026650667469035E-2</v>
      </c>
      <c r="D350" s="22">
        <v>6.9444444444444447E-4</v>
      </c>
    </row>
    <row r="351" spans="1:4" x14ac:dyDescent="0.25">
      <c r="A351" s="17" t="s">
        <v>68</v>
      </c>
      <c r="B351" s="17" t="s">
        <v>65</v>
      </c>
      <c r="C351" s="51">
        <v>6.0909006731353493E-2</v>
      </c>
      <c r="D351" s="19">
        <v>6.9444444444444447E-4</v>
      </c>
    </row>
    <row r="352" spans="1:4" x14ac:dyDescent="0.25">
      <c r="A352" s="17" t="s">
        <v>68</v>
      </c>
      <c r="B352" s="17" t="s">
        <v>66</v>
      </c>
      <c r="C352" s="53">
        <v>3.3132021203062009E-2</v>
      </c>
      <c r="D352" s="22">
        <v>6.9444444444444447E-4</v>
      </c>
    </row>
    <row r="353" spans="1:4" x14ac:dyDescent="0.25">
      <c r="A353" s="17" t="s">
        <v>68</v>
      </c>
      <c r="B353" s="17" t="s">
        <v>67</v>
      </c>
      <c r="C353" s="51">
        <v>0.10171661170625299</v>
      </c>
      <c r="D353" s="19">
        <v>6.9444444444444447E-4</v>
      </c>
    </row>
    <row r="354" spans="1:4" x14ac:dyDescent="0.25">
      <c r="A354" s="17" t="s">
        <v>68</v>
      </c>
      <c r="B354" s="17" t="s">
        <v>68</v>
      </c>
      <c r="C354" s="53">
        <v>0</v>
      </c>
      <c r="D354" s="22">
        <v>0</v>
      </c>
    </row>
    <row r="355" spans="1:4" x14ac:dyDescent="0.25">
      <c r="A355" s="17" t="s">
        <v>68</v>
      </c>
      <c r="B355" s="17" t="s">
        <v>69</v>
      </c>
      <c r="C355" s="51">
        <v>1.8629632578234002E-2</v>
      </c>
      <c r="D355" s="19">
        <v>6.9444444444444447E-4</v>
      </c>
    </row>
    <row r="356" spans="1:4" x14ac:dyDescent="0.25">
      <c r="A356" s="17" t="s">
        <v>68</v>
      </c>
      <c r="B356" s="17" t="s">
        <v>70</v>
      </c>
      <c r="C356" s="53">
        <v>0.11659620443221944</v>
      </c>
      <c r="D356" s="22">
        <v>6.9444444444444447E-4</v>
      </c>
    </row>
    <row r="357" spans="1:4" x14ac:dyDescent="0.25">
      <c r="A357" s="17" t="s">
        <v>68</v>
      </c>
      <c r="B357" s="17" t="s">
        <v>71</v>
      </c>
      <c r="C357" s="51">
        <v>4.1188993918280022E-2</v>
      </c>
      <c r="D357" s="19">
        <v>6.9444444444444447E-4</v>
      </c>
    </row>
    <row r="358" spans="1:4" x14ac:dyDescent="0.25">
      <c r="A358" s="17" t="s">
        <v>68</v>
      </c>
      <c r="B358" s="17" t="s">
        <v>72</v>
      </c>
      <c r="C358" s="53">
        <v>0.12037828774741548</v>
      </c>
      <c r="D358" s="22">
        <v>6.9444444444444447E-4</v>
      </c>
    </row>
    <row r="359" spans="1:4" x14ac:dyDescent="0.25">
      <c r="A359" s="17" t="s">
        <v>68</v>
      </c>
      <c r="B359" s="17" t="s">
        <v>73</v>
      </c>
      <c r="C359" s="51">
        <v>4.6081792554111996E-2</v>
      </c>
      <c r="D359" s="19">
        <v>6.9444444444444447E-4</v>
      </c>
    </row>
    <row r="360" spans="1:4" x14ac:dyDescent="0.25">
      <c r="A360" s="17" t="s">
        <v>68</v>
      </c>
      <c r="B360" s="17" t="s">
        <v>74</v>
      </c>
      <c r="C360" s="53">
        <v>3.6351840778699449E-2</v>
      </c>
      <c r="D360" s="22">
        <v>6.9444444444444447E-4</v>
      </c>
    </row>
    <row r="361" spans="1:4" x14ac:dyDescent="0.25">
      <c r="A361" s="17" t="s">
        <v>68</v>
      </c>
      <c r="B361" s="17" t="s">
        <v>75</v>
      </c>
      <c r="C361" s="51">
        <v>0.16139301849832463</v>
      </c>
      <c r="D361" s="19">
        <v>6.9444444444444447E-4</v>
      </c>
    </row>
    <row r="362" spans="1:4" x14ac:dyDescent="0.25">
      <c r="A362" s="17" t="s">
        <v>68</v>
      </c>
      <c r="B362" s="17" t="s">
        <v>76</v>
      </c>
      <c r="C362" s="53">
        <v>0.15592292334675853</v>
      </c>
      <c r="D362" s="22">
        <v>6.9444444444444447E-4</v>
      </c>
    </row>
    <row r="363" spans="1:4" x14ac:dyDescent="0.25">
      <c r="A363" s="17" t="s">
        <v>68</v>
      </c>
      <c r="B363" s="17" t="s">
        <v>77</v>
      </c>
      <c r="C363" s="51">
        <v>5.6135944999619138E-2</v>
      </c>
      <c r="D363" s="19">
        <v>6.9444444444444447E-4</v>
      </c>
    </row>
    <row r="364" spans="1:4" x14ac:dyDescent="0.25">
      <c r="A364" s="17" t="s">
        <v>68</v>
      </c>
      <c r="B364" s="17" t="s">
        <v>78</v>
      </c>
      <c r="C364" s="53">
        <v>4.5108086248478237E-2</v>
      </c>
      <c r="D364" s="22">
        <v>6.9444444444444447E-4</v>
      </c>
    </row>
    <row r="365" spans="1:4" x14ac:dyDescent="0.25">
      <c r="A365" s="17" t="s">
        <v>68</v>
      </c>
      <c r="B365" s="17" t="s">
        <v>79</v>
      </c>
      <c r="C365" s="51">
        <v>0.12934684231939944</v>
      </c>
      <c r="D365" s="19">
        <v>6.9444444444444447E-4</v>
      </c>
    </row>
    <row r="366" spans="1:4" x14ac:dyDescent="0.25">
      <c r="A366" s="17" t="s">
        <v>68</v>
      </c>
      <c r="B366" s="17" t="s">
        <v>80</v>
      </c>
      <c r="C366" s="53">
        <v>0.13328804623446189</v>
      </c>
      <c r="D366" s="22">
        <v>6.9444444444444447E-4</v>
      </c>
    </row>
    <row r="367" spans="1:4" x14ac:dyDescent="0.25">
      <c r="A367" s="17" t="s">
        <v>68</v>
      </c>
      <c r="B367" s="17" t="s">
        <v>81</v>
      </c>
      <c r="C367" s="51">
        <v>0.13927797618073104</v>
      </c>
      <c r="D367" s="19">
        <v>6.9444444444444447E-4</v>
      </c>
    </row>
    <row r="368" spans="1:4" x14ac:dyDescent="0.25">
      <c r="A368" s="17" t="s">
        <v>68</v>
      </c>
      <c r="B368" s="17" t="s">
        <v>82</v>
      </c>
      <c r="C368" s="53">
        <v>0.10451162012427638</v>
      </c>
      <c r="D368" s="22">
        <v>6.9444444444444447E-4</v>
      </c>
    </row>
    <row r="369" spans="1:4" x14ac:dyDescent="0.25">
      <c r="A369" s="17" t="s">
        <v>68</v>
      </c>
      <c r="B369" s="17" t="s">
        <v>83</v>
      </c>
      <c r="C369" s="51">
        <v>0.10656701032684253</v>
      </c>
      <c r="D369" s="19">
        <v>6.9444444444444447E-4</v>
      </c>
    </row>
    <row r="370" spans="1:4" x14ac:dyDescent="0.25">
      <c r="A370" s="17" t="s">
        <v>68</v>
      </c>
      <c r="B370" s="17" t="s">
        <v>84</v>
      </c>
      <c r="C370" s="53">
        <v>6.8388714463721592E-2</v>
      </c>
      <c r="D370" s="22">
        <v>6.9444444444444447E-4</v>
      </c>
    </row>
    <row r="371" spans="1:4" x14ac:dyDescent="0.25">
      <c r="A371" s="17" t="s">
        <v>68</v>
      </c>
      <c r="B371" s="17" t="s">
        <v>85</v>
      </c>
      <c r="C371" s="51">
        <v>0.1232002563511935</v>
      </c>
      <c r="D371" s="19">
        <v>6.9444444444444447E-4</v>
      </c>
    </row>
    <row r="372" spans="1:4" x14ac:dyDescent="0.25">
      <c r="A372" s="17" t="s">
        <v>68</v>
      </c>
      <c r="B372" s="17" t="s">
        <v>86</v>
      </c>
      <c r="C372" s="53">
        <v>0.11481186124264536</v>
      </c>
      <c r="D372" s="22">
        <v>6.9444444444444447E-4</v>
      </c>
    </row>
    <row r="373" spans="1:4" x14ac:dyDescent="0.25">
      <c r="A373" s="17" t="s">
        <v>68</v>
      </c>
      <c r="B373" s="17" t="s">
        <v>87</v>
      </c>
      <c r="C373" s="51">
        <v>7.4056990952915513E-2</v>
      </c>
      <c r="D373" s="19">
        <v>6.9444444444444447E-4</v>
      </c>
    </row>
    <row r="374" spans="1:4" x14ac:dyDescent="0.25">
      <c r="A374" s="17" t="s">
        <v>69</v>
      </c>
      <c r="B374" s="17" t="s">
        <v>55</v>
      </c>
      <c r="C374" s="53">
        <v>0.10926667570672825</v>
      </c>
      <c r="D374" s="22">
        <v>6.9444444444444447E-4</v>
      </c>
    </row>
    <row r="375" spans="1:4" x14ac:dyDescent="0.25">
      <c r="A375" s="17" t="s">
        <v>69</v>
      </c>
      <c r="B375" s="17" t="s">
        <v>57</v>
      </c>
      <c r="C375" s="51">
        <v>4.2952475889061474E-2</v>
      </c>
      <c r="D375" s="19">
        <v>6.9444444444444447E-4</v>
      </c>
    </row>
    <row r="376" spans="1:4" x14ac:dyDescent="0.25">
      <c r="A376" s="17" t="s">
        <v>69</v>
      </c>
      <c r="B376" s="17" t="s">
        <v>59</v>
      </c>
      <c r="C376" s="53">
        <v>8.3866992851775887E-2</v>
      </c>
      <c r="D376" s="22">
        <v>6.9444444444444447E-4</v>
      </c>
    </row>
    <row r="377" spans="1:4" x14ac:dyDescent="0.25">
      <c r="A377" s="17" t="s">
        <v>69</v>
      </c>
      <c r="B377" s="17" t="s">
        <v>60</v>
      </c>
      <c r="C377" s="51">
        <v>8.6486649331442261E-2</v>
      </c>
      <c r="D377" s="19">
        <v>6.9444444444444447E-4</v>
      </c>
    </row>
    <row r="378" spans="1:4" x14ac:dyDescent="0.25">
      <c r="A378" s="17" t="s">
        <v>69</v>
      </c>
      <c r="B378" s="17" t="s">
        <v>61</v>
      </c>
      <c r="C378" s="53">
        <v>3.9593257835144294E-2</v>
      </c>
      <c r="D378" s="22">
        <v>6.9444444444444447E-4</v>
      </c>
    </row>
    <row r="379" spans="1:4" x14ac:dyDescent="0.25">
      <c r="A379" s="17" t="s">
        <v>69</v>
      </c>
      <c r="B379" s="17" t="s">
        <v>62</v>
      </c>
      <c r="C379" s="51">
        <v>6.4168240781558222E-2</v>
      </c>
      <c r="D379" s="19">
        <v>6.9444444444444447E-4</v>
      </c>
    </row>
    <row r="380" spans="1:4" x14ac:dyDescent="0.25">
      <c r="A380" s="17" t="s">
        <v>69</v>
      </c>
      <c r="B380" s="17" t="s">
        <v>63</v>
      </c>
      <c r="C380" s="53">
        <v>8.1836263068396739E-2</v>
      </c>
      <c r="D380" s="22">
        <v>6.9444444444444447E-4</v>
      </c>
    </row>
    <row r="381" spans="1:4" x14ac:dyDescent="0.25">
      <c r="A381" s="17" t="s">
        <v>69</v>
      </c>
      <c r="B381" s="17" t="s">
        <v>64</v>
      </c>
      <c r="C381" s="51">
        <v>2.9764829665229572E-2</v>
      </c>
      <c r="D381" s="19">
        <v>6.9444444444444447E-4</v>
      </c>
    </row>
    <row r="382" spans="1:4" x14ac:dyDescent="0.25">
      <c r="A382" s="17" t="s">
        <v>69</v>
      </c>
      <c r="B382" s="17" t="s">
        <v>65</v>
      </c>
      <c r="C382" s="53">
        <v>5.5827191376605051E-2</v>
      </c>
      <c r="D382" s="22">
        <v>6.9444444444444447E-4</v>
      </c>
    </row>
    <row r="383" spans="1:4" x14ac:dyDescent="0.25">
      <c r="A383" s="17" t="s">
        <v>69</v>
      </c>
      <c r="B383" s="17" t="s">
        <v>66</v>
      </c>
      <c r="C383" s="51">
        <v>1.9830708030731534E-2</v>
      </c>
      <c r="D383" s="19">
        <v>6.9444444444444447E-4</v>
      </c>
    </row>
    <row r="384" spans="1:4" x14ac:dyDescent="0.25">
      <c r="A384" s="17" t="s">
        <v>69</v>
      </c>
      <c r="B384" s="17" t="s">
        <v>67</v>
      </c>
      <c r="C384" s="53">
        <v>8.8132212572932786E-2</v>
      </c>
      <c r="D384" s="22">
        <v>6.9444444444444447E-4</v>
      </c>
    </row>
    <row r="385" spans="1:4" x14ac:dyDescent="0.25">
      <c r="A385" s="17" t="s">
        <v>69</v>
      </c>
      <c r="B385" s="17" t="s">
        <v>68</v>
      </c>
      <c r="C385" s="51">
        <v>1.8629632578234002E-2</v>
      </c>
      <c r="D385" s="19">
        <v>6.9444444444444447E-4</v>
      </c>
    </row>
    <row r="386" spans="1:4" x14ac:dyDescent="0.25">
      <c r="A386" s="17" t="s">
        <v>69</v>
      </c>
      <c r="B386" s="17" t="s">
        <v>69</v>
      </c>
      <c r="C386" s="53">
        <v>0</v>
      </c>
      <c r="D386" s="22">
        <v>0</v>
      </c>
    </row>
    <row r="387" spans="1:4" x14ac:dyDescent="0.25">
      <c r="A387" s="17" t="s">
        <v>69</v>
      </c>
      <c r="B387" s="17" t="s">
        <v>70</v>
      </c>
      <c r="C387" s="51">
        <v>0.10426462948670479</v>
      </c>
      <c r="D387" s="19">
        <v>6.9444444444444447E-4</v>
      </c>
    </row>
    <row r="388" spans="1:4" x14ac:dyDescent="0.25">
      <c r="A388" s="17" t="s">
        <v>69</v>
      </c>
      <c r="B388" s="17" t="s">
        <v>71</v>
      </c>
      <c r="C388" s="53">
        <v>3.1602776871659424E-2</v>
      </c>
      <c r="D388" s="22">
        <v>6.9444444444444447E-4</v>
      </c>
    </row>
    <row r="389" spans="1:4" x14ac:dyDescent="0.25">
      <c r="A389" s="17" t="s">
        <v>69</v>
      </c>
      <c r="B389" s="17" t="s">
        <v>72</v>
      </c>
      <c r="C389" s="51">
        <v>0.11261954033381388</v>
      </c>
      <c r="D389" s="19">
        <v>6.9444444444444447E-4</v>
      </c>
    </row>
    <row r="390" spans="1:4" x14ac:dyDescent="0.25">
      <c r="A390" s="17" t="s">
        <v>69</v>
      </c>
      <c r="B390" s="17" t="s">
        <v>73</v>
      </c>
      <c r="C390" s="53">
        <v>3.1334990106908343E-2</v>
      </c>
      <c r="D390" s="22">
        <v>6.9444444444444447E-4</v>
      </c>
    </row>
    <row r="391" spans="1:4" x14ac:dyDescent="0.25">
      <c r="A391" s="17" t="s">
        <v>69</v>
      </c>
      <c r="B391" s="17" t="s">
        <v>74</v>
      </c>
      <c r="C391" s="51">
        <v>1.9648926739136385E-2</v>
      </c>
      <c r="D391" s="19">
        <v>6.9444444444444447E-4</v>
      </c>
    </row>
    <row r="392" spans="1:4" x14ac:dyDescent="0.25">
      <c r="A392" s="17" t="s">
        <v>69</v>
      </c>
      <c r="B392" s="17" t="s">
        <v>75</v>
      </c>
      <c r="C392" s="53">
        <v>0.15348316210581645</v>
      </c>
      <c r="D392" s="22">
        <v>6.9444444444444447E-4</v>
      </c>
    </row>
    <row r="393" spans="1:4" x14ac:dyDescent="0.25">
      <c r="A393" s="17" t="s">
        <v>69</v>
      </c>
      <c r="B393" s="17" t="s">
        <v>76</v>
      </c>
      <c r="C393" s="51">
        <v>0.14748104586352459</v>
      </c>
      <c r="D393" s="19">
        <v>6.9444444444444447E-4</v>
      </c>
    </row>
    <row r="394" spans="1:4" x14ac:dyDescent="0.25">
      <c r="A394" s="17" t="s">
        <v>69</v>
      </c>
      <c r="B394" s="17" t="s">
        <v>77</v>
      </c>
      <c r="C394" s="53">
        <v>4.6069713011914037E-2</v>
      </c>
      <c r="D394" s="22">
        <v>6.9444444444444447E-4</v>
      </c>
    </row>
    <row r="395" spans="1:4" x14ac:dyDescent="0.25">
      <c r="A395" s="17" t="s">
        <v>69</v>
      </c>
      <c r="B395" s="17" t="s">
        <v>78</v>
      </c>
      <c r="C395" s="51">
        <v>4.4351365041000977E-2</v>
      </c>
      <c r="D395" s="19">
        <v>6.9444444444444447E-4</v>
      </c>
    </row>
    <row r="396" spans="1:4" x14ac:dyDescent="0.25">
      <c r="A396" s="17" t="s">
        <v>69</v>
      </c>
      <c r="B396" s="17" t="s">
        <v>79</v>
      </c>
      <c r="C396" s="53">
        <v>0.12025760313593277</v>
      </c>
      <c r="D396" s="22">
        <v>6.9444444444444447E-4</v>
      </c>
    </row>
    <row r="397" spans="1:4" x14ac:dyDescent="0.25">
      <c r="A397" s="17" t="s">
        <v>69</v>
      </c>
      <c r="B397" s="17" t="s">
        <v>80</v>
      </c>
      <c r="C397" s="51">
        <v>0.12270264395276886</v>
      </c>
      <c r="D397" s="19">
        <v>6.9444444444444447E-4</v>
      </c>
    </row>
    <row r="398" spans="1:4" x14ac:dyDescent="0.25">
      <c r="A398" s="17" t="s">
        <v>69</v>
      </c>
      <c r="B398" s="17" t="s">
        <v>81</v>
      </c>
      <c r="C398" s="53">
        <v>0.12490801620792914</v>
      </c>
      <c r="D398" s="22">
        <v>6.9444444444444447E-4</v>
      </c>
    </row>
    <row r="399" spans="1:4" x14ac:dyDescent="0.25">
      <c r="A399" s="17" t="s">
        <v>69</v>
      </c>
      <c r="B399" s="17" t="s">
        <v>82</v>
      </c>
      <c r="C399" s="51">
        <v>8.6281233098518428E-2</v>
      </c>
      <c r="D399" s="19">
        <v>6.9444444444444447E-4</v>
      </c>
    </row>
    <row r="400" spans="1:4" x14ac:dyDescent="0.25">
      <c r="A400" s="17" t="s">
        <v>69</v>
      </c>
      <c r="B400" s="17" t="s">
        <v>83</v>
      </c>
      <c r="C400" s="53">
        <v>8.8700068207421184E-2</v>
      </c>
      <c r="D400" s="22">
        <v>6.9444444444444447E-4</v>
      </c>
    </row>
    <row r="401" spans="1:4" x14ac:dyDescent="0.25">
      <c r="A401" s="17" t="s">
        <v>69</v>
      </c>
      <c r="B401" s="17" t="s">
        <v>84</v>
      </c>
      <c r="C401" s="51">
        <v>5.1764075960073541E-2</v>
      </c>
      <c r="D401" s="19">
        <v>6.9444444444444447E-4</v>
      </c>
    </row>
    <row r="402" spans="1:4" x14ac:dyDescent="0.25">
      <c r="A402" s="17" t="s">
        <v>69</v>
      </c>
      <c r="B402" s="17" t="s">
        <v>85</v>
      </c>
      <c r="C402" s="53">
        <v>0.10555718571939966</v>
      </c>
      <c r="D402" s="22">
        <v>6.9444444444444447E-4</v>
      </c>
    </row>
    <row r="403" spans="1:4" x14ac:dyDescent="0.25">
      <c r="A403" s="17" t="s">
        <v>69</v>
      </c>
      <c r="B403" s="17" t="s">
        <v>86</v>
      </c>
      <c r="C403" s="51">
        <v>9.6768537366234614E-2</v>
      </c>
      <c r="D403" s="19">
        <v>6.9444444444444447E-4</v>
      </c>
    </row>
    <row r="404" spans="1:4" x14ac:dyDescent="0.25">
      <c r="A404" s="17" t="s">
        <v>69</v>
      </c>
      <c r="B404" s="17" t="s">
        <v>87</v>
      </c>
      <c r="C404" s="53">
        <v>5.5885186024564319E-2</v>
      </c>
      <c r="D404" s="22">
        <v>6.9444444444444447E-4</v>
      </c>
    </row>
    <row r="405" spans="1:4" x14ac:dyDescent="0.25">
      <c r="A405" s="17" t="s">
        <v>70</v>
      </c>
      <c r="B405" s="17" t="s">
        <v>55</v>
      </c>
      <c r="C405" s="51">
        <v>0.21260641977606906</v>
      </c>
      <c r="D405" s="19">
        <v>6.9444444444444447E-4</v>
      </c>
    </row>
    <row r="406" spans="1:4" x14ac:dyDescent="0.25">
      <c r="A406" s="17" t="s">
        <v>70</v>
      </c>
      <c r="B406" s="17" t="s">
        <v>57</v>
      </c>
      <c r="C406" s="53">
        <v>0.14294097986581941</v>
      </c>
      <c r="D406" s="22">
        <v>6.9444444444444447E-4</v>
      </c>
    </row>
    <row r="407" spans="1:4" x14ac:dyDescent="0.25">
      <c r="A407" s="17" t="s">
        <v>70</v>
      </c>
      <c r="B407" s="17" t="s">
        <v>59</v>
      </c>
      <c r="C407" s="51">
        <v>0.1662299177043618</v>
      </c>
      <c r="D407" s="19">
        <v>6.9444444444444447E-4</v>
      </c>
    </row>
    <row r="408" spans="1:4" x14ac:dyDescent="0.25">
      <c r="A408" s="17" t="s">
        <v>70</v>
      </c>
      <c r="B408" s="17" t="s">
        <v>60</v>
      </c>
      <c r="C408" s="53">
        <v>0.17906875823152058</v>
      </c>
      <c r="D408" s="22">
        <v>6.9444444444444447E-4</v>
      </c>
    </row>
    <row r="409" spans="1:4" x14ac:dyDescent="0.25">
      <c r="A409" s="17" t="s">
        <v>70</v>
      </c>
      <c r="B409" s="17" t="s">
        <v>61</v>
      </c>
      <c r="C409" s="51">
        <v>0.13434388581547002</v>
      </c>
      <c r="D409" s="19">
        <v>6.9444444444444447E-4</v>
      </c>
    </row>
    <row r="410" spans="1:4" x14ac:dyDescent="0.25">
      <c r="A410" s="17" t="s">
        <v>70</v>
      </c>
      <c r="B410" s="17" t="s">
        <v>62</v>
      </c>
      <c r="C410" s="53">
        <v>0.13162420390262403</v>
      </c>
      <c r="D410" s="22">
        <v>6.9444444444444447E-4</v>
      </c>
    </row>
    <row r="411" spans="1:4" x14ac:dyDescent="0.25">
      <c r="A411" s="17" t="s">
        <v>70</v>
      </c>
      <c r="B411" s="17" t="s">
        <v>63</v>
      </c>
      <c r="C411" s="51">
        <v>0.18537966521978416</v>
      </c>
      <c r="D411" s="19">
        <v>6.9444444444444447E-4</v>
      </c>
    </row>
    <row r="412" spans="1:4" x14ac:dyDescent="0.25">
      <c r="A412" s="17" t="s">
        <v>70</v>
      </c>
      <c r="B412" s="17" t="s">
        <v>64</v>
      </c>
      <c r="C412" s="53">
        <v>0.10352732712187655</v>
      </c>
      <c r="D412" s="22">
        <v>6.9444444444444447E-4</v>
      </c>
    </row>
    <row r="413" spans="1:4" x14ac:dyDescent="0.25">
      <c r="A413" s="17" t="s">
        <v>70</v>
      </c>
      <c r="B413" s="17" t="s">
        <v>65</v>
      </c>
      <c r="C413" s="51">
        <v>0.14929654112872054</v>
      </c>
      <c r="D413" s="19">
        <v>6.9444444444444447E-4</v>
      </c>
    </row>
    <row r="414" spans="1:4" x14ac:dyDescent="0.25">
      <c r="A414" s="17" t="s">
        <v>70</v>
      </c>
      <c r="B414" s="17" t="s">
        <v>66</v>
      </c>
      <c r="C414" s="53">
        <v>0.11359475720736487</v>
      </c>
      <c r="D414" s="22">
        <v>6.9444444444444447E-4</v>
      </c>
    </row>
    <row r="415" spans="1:4" x14ac:dyDescent="0.25">
      <c r="A415" s="17" t="s">
        <v>70</v>
      </c>
      <c r="B415" s="17" t="s">
        <v>67</v>
      </c>
      <c r="C415" s="51">
        <v>0.14717580509377304</v>
      </c>
      <c r="D415" s="19">
        <v>6.9444444444444447E-4</v>
      </c>
    </row>
    <row r="416" spans="1:4" x14ac:dyDescent="0.25">
      <c r="A416" s="17" t="s">
        <v>70</v>
      </c>
      <c r="B416" s="17" t="s">
        <v>68</v>
      </c>
      <c r="C416" s="53">
        <v>0.11659620443221944</v>
      </c>
      <c r="D416" s="22">
        <v>6.9444444444444447E-4</v>
      </c>
    </row>
    <row r="417" spans="1:4" x14ac:dyDescent="0.25">
      <c r="A417" s="17" t="s">
        <v>70</v>
      </c>
      <c r="B417" s="17" t="s">
        <v>69</v>
      </c>
      <c r="C417" s="51">
        <v>0.10426462948670479</v>
      </c>
      <c r="D417" s="19">
        <v>6.9444444444444447E-4</v>
      </c>
    </row>
    <row r="418" spans="1:4" x14ac:dyDescent="0.25">
      <c r="A418" s="17" t="s">
        <v>70</v>
      </c>
      <c r="B418" s="17" t="s">
        <v>70</v>
      </c>
      <c r="C418" s="53">
        <v>0</v>
      </c>
      <c r="D418" s="22">
        <v>0</v>
      </c>
    </row>
    <row r="419" spans="1:4" x14ac:dyDescent="0.25">
      <c r="A419" s="17" t="s">
        <v>70</v>
      </c>
      <c r="B419" s="17" t="s">
        <v>71</v>
      </c>
      <c r="C419" s="51">
        <v>7.5448662519621221E-2</v>
      </c>
      <c r="D419" s="19">
        <v>6.9444444444444447E-4</v>
      </c>
    </row>
    <row r="420" spans="1:4" x14ac:dyDescent="0.25">
      <c r="A420" s="17" t="s">
        <v>70</v>
      </c>
      <c r="B420" s="17" t="s">
        <v>72</v>
      </c>
      <c r="C420" s="53">
        <v>3.3727603605949952E-2</v>
      </c>
      <c r="D420" s="22">
        <v>6.9444444444444447E-4</v>
      </c>
    </row>
    <row r="421" spans="1:4" x14ac:dyDescent="0.25">
      <c r="A421" s="17" t="s">
        <v>70</v>
      </c>
      <c r="B421" s="17" t="s">
        <v>73</v>
      </c>
      <c r="C421" s="51">
        <v>7.3111904700943642E-2</v>
      </c>
      <c r="D421" s="19">
        <v>6.9444444444444447E-4</v>
      </c>
    </row>
    <row r="422" spans="1:4" x14ac:dyDescent="0.25">
      <c r="A422" s="17" t="s">
        <v>70</v>
      </c>
      <c r="B422" s="17" t="s">
        <v>74</v>
      </c>
      <c r="C422" s="53">
        <v>8.5520921416926146E-2</v>
      </c>
      <c r="D422" s="22">
        <v>6.9444444444444447E-4</v>
      </c>
    </row>
    <row r="423" spans="1:4" x14ac:dyDescent="0.25">
      <c r="A423" s="17" t="s">
        <v>70</v>
      </c>
      <c r="B423" s="17" t="s">
        <v>75</v>
      </c>
      <c r="C423" s="51">
        <v>6.0139197500466549E-2</v>
      </c>
      <c r="D423" s="19">
        <v>6.9444444444444447E-4</v>
      </c>
    </row>
    <row r="424" spans="1:4" x14ac:dyDescent="0.25">
      <c r="A424" s="17" t="s">
        <v>70</v>
      </c>
      <c r="B424" s="17" t="s">
        <v>76</v>
      </c>
      <c r="C424" s="53">
        <v>5.2678555456654473E-2</v>
      </c>
      <c r="D424" s="22">
        <v>6.9444444444444447E-4</v>
      </c>
    </row>
    <row r="425" spans="1:4" x14ac:dyDescent="0.25">
      <c r="A425" s="17" t="s">
        <v>70</v>
      </c>
      <c r="B425" s="17" t="s">
        <v>77</v>
      </c>
      <c r="C425" s="51">
        <v>6.0703158179782113E-2</v>
      </c>
      <c r="D425" s="19">
        <v>6.9444444444444447E-4</v>
      </c>
    </row>
    <row r="426" spans="1:4" x14ac:dyDescent="0.25">
      <c r="A426" s="17" t="s">
        <v>70</v>
      </c>
      <c r="B426" s="17" t="s">
        <v>78</v>
      </c>
      <c r="C426" s="53">
        <v>8.1140506536500553E-2</v>
      </c>
      <c r="D426" s="22">
        <v>6.9444444444444447E-4</v>
      </c>
    </row>
    <row r="427" spans="1:4" x14ac:dyDescent="0.25">
      <c r="A427" s="17" t="s">
        <v>70</v>
      </c>
      <c r="B427" s="17" t="s">
        <v>79</v>
      </c>
      <c r="C427" s="51">
        <v>2.8865471588040675E-2</v>
      </c>
      <c r="D427" s="19">
        <v>6.9444444444444447E-4</v>
      </c>
    </row>
    <row r="428" spans="1:4" x14ac:dyDescent="0.25">
      <c r="A428" s="17" t="s">
        <v>70</v>
      </c>
      <c r="B428" s="17" t="s">
        <v>80</v>
      </c>
      <c r="C428" s="53">
        <v>2.257016670297441E-2</v>
      </c>
      <c r="D428" s="22">
        <v>6.9444444444444447E-4</v>
      </c>
    </row>
    <row r="429" spans="1:4" x14ac:dyDescent="0.25">
      <c r="A429" s="17" t="s">
        <v>70</v>
      </c>
      <c r="B429" s="17" t="s">
        <v>81</v>
      </c>
      <c r="C429" s="51">
        <v>0.16880931942579305</v>
      </c>
      <c r="D429" s="19">
        <v>6.9444444444444447E-4</v>
      </c>
    </row>
    <row r="430" spans="1:4" x14ac:dyDescent="0.25">
      <c r="A430" s="17" t="s">
        <v>70</v>
      </c>
      <c r="B430" s="17" t="s">
        <v>82</v>
      </c>
      <c r="C430" s="53">
        <v>6.6108818057803082E-2</v>
      </c>
      <c r="D430" s="22">
        <v>6.9444444444444447E-4</v>
      </c>
    </row>
    <row r="431" spans="1:4" x14ac:dyDescent="0.25">
      <c r="A431" s="17" t="s">
        <v>70</v>
      </c>
      <c r="B431" s="17" t="s">
        <v>83</v>
      </c>
      <c r="C431" s="51">
        <v>0.11190438594621925</v>
      </c>
      <c r="D431" s="19">
        <v>6.9444444444444447E-4</v>
      </c>
    </row>
    <row r="432" spans="1:4" x14ac:dyDescent="0.25">
      <c r="A432" s="17" t="s">
        <v>70</v>
      </c>
      <c r="B432" s="17" t="s">
        <v>84</v>
      </c>
      <c r="C432" s="53">
        <v>5.9006030623995974E-2</v>
      </c>
      <c r="D432" s="22">
        <v>6.9444444444444447E-4</v>
      </c>
    </row>
    <row r="433" spans="1:4" x14ac:dyDescent="0.25">
      <c r="A433" s="17" t="s">
        <v>70</v>
      </c>
      <c r="B433" s="17" t="s">
        <v>85</v>
      </c>
      <c r="C433" s="51">
        <v>5.7837233759919511E-2</v>
      </c>
      <c r="D433" s="19">
        <v>6.9444444444444447E-4</v>
      </c>
    </row>
    <row r="434" spans="1:4" x14ac:dyDescent="0.25">
      <c r="A434" s="17" t="s">
        <v>70</v>
      </c>
      <c r="B434" s="17" t="s">
        <v>86</v>
      </c>
      <c r="C434" s="53">
        <v>6.3452998053679557E-2</v>
      </c>
      <c r="D434" s="22">
        <v>6.9444444444444447E-4</v>
      </c>
    </row>
    <row r="435" spans="1:4" x14ac:dyDescent="0.25">
      <c r="A435" s="17" t="s">
        <v>70</v>
      </c>
      <c r="B435" s="17" t="s">
        <v>87</v>
      </c>
      <c r="C435" s="51">
        <v>9.7134771781269641E-2</v>
      </c>
      <c r="D435" s="19">
        <v>6.9444444444444447E-4</v>
      </c>
    </row>
    <row r="436" spans="1:4" x14ac:dyDescent="0.25">
      <c r="A436" s="17" t="s">
        <v>71</v>
      </c>
      <c r="B436" s="17" t="s">
        <v>55</v>
      </c>
      <c r="C436" s="53">
        <v>0.14051757505023674</v>
      </c>
      <c r="D436" s="22">
        <v>6.9444444444444447E-4</v>
      </c>
    </row>
    <row r="437" spans="1:4" x14ac:dyDescent="0.25">
      <c r="A437" s="17" t="s">
        <v>71</v>
      </c>
      <c r="B437" s="17" t="s">
        <v>57</v>
      </c>
      <c r="C437" s="51">
        <v>7.4270803933984178E-2</v>
      </c>
      <c r="D437" s="19">
        <v>6.9444444444444447E-4</v>
      </c>
    </row>
    <row r="438" spans="1:4" x14ac:dyDescent="0.25">
      <c r="A438" s="17" t="s">
        <v>71</v>
      </c>
      <c r="B438" s="17" t="s">
        <v>59</v>
      </c>
      <c r="C438" s="53">
        <v>0.11104371557183579</v>
      </c>
      <c r="D438" s="22">
        <v>6.9444444444444447E-4</v>
      </c>
    </row>
    <row r="439" spans="1:4" x14ac:dyDescent="0.25">
      <c r="A439" s="17" t="s">
        <v>71</v>
      </c>
      <c r="B439" s="17" t="s">
        <v>60</v>
      </c>
      <c r="C439" s="51">
        <v>0.11666970000038136</v>
      </c>
      <c r="D439" s="19">
        <v>6.9444444444444447E-4</v>
      </c>
    </row>
    <row r="440" spans="1:4" x14ac:dyDescent="0.25">
      <c r="A440" s="17" t="s">
        <v>71</v>
      </c>
      <c r="B440" s="17" t="s">
        <v>61</v>
      </c>
      <c r="C440" s="53">
        <v>6.9280318272940095E-2</v>
      </c>
      <c r="D440" s="22">
        <v>6.9444444444444447E-4</v>
      </c>
    </row>
    <row r="441" spans="1:4" x14ac:dyDescent="0.25">
      <c r="A441" s="17" t="s">
        <v>71</v>
      </c>
      <c r="B441" s="17" t="s">
        <v>62</v>
      </c>
      <c r="C441" s="51">
        <v>8.4682779388722956E-2</v>
      </c>
      <c r="D441" s="19">
        <v>6.9444444444444447E-4</v>
      </c>
    </row>
    <row r="442" spans="1:4" x14ac:dyDescent="0.25">
      <c r="A442" s="17" t="s">
        <v>71</v>
      </c>
      <c r="B442" s="17" t="s">
        <v>63</v>
      </c>
      <c r="C442" s="53">
        <v>0.11307674307743204</v>
      </c>
      <c r="D442" s="22">
        <v>6.9444444444444447E-4</v>
      </c>
    </row>
    <row r="443" spans="1:4" x14ac:dyDescent="0.25">
      <c r="A443" s="17" t="s">
        <v>71</v>
      </c>
      <c r="B443" s="17" t="s">
        <v>64</v>
      </c>
      <c r="C443" s="51">
        <v>4.7281366826687085E-2</v>
      </c>
      <c r="D443" s="19">
        <v>6.9444444444444447E-4</v>
      </c>
    </row>
    <row r="444" spans="1:4" x14ac:dyDescent="0.25">
      <c r="A444" s="17" t="s">
        <v>71</v>
      </c>
      <c r="B444" s="17" t="s">
        <v>65</v>
      </c>
      <c r="C444" s="53">
        <v>8.5649121565837177E-2</v>
      </c>
      <c r="D444" s="22">
        <v>6.9444444444444447E-4</v>
      </c>
    </row>
    <row r="445" spans="1:4" x14ac:dyDescent="0.25">
      <c r="A445" s="17" t="s">
        <v>71</v>
      </c>
      <c r="B445" s="17" t="s">
        <v>66</v>
      </c>
      <c r="C445" s="51">
        <v>4.7524881662134984E-2</v>
      </c>
      <c r="D445" s="19">
        <v>6.9444444444444447E-4</v>
      </c>
    </row>
    <row r="446" spans="1:4" x14ac:dyDescent="0.25">
      <c r="A446" s="17" t="s">
        <v>71</v>
      </c>
      <c r="B446" s="17" t="s">
        <v>67</v>
      </c>
      <c r="C446" s="53">
        <v>0.10741843512637642</v>
      </c>
      <c r="D446" s="22">
        <v>6.9444444444444447E-4</v>
      </c>
    </row>
    <row r="447" spans="1:4" x14ac:dyDescent="0.25">
      <c r="A447" s="17" t="s">
        <v>71</v>
      </c>
      <c r="B447" s="17" t="s">
        <v>68</v>
      </c>
      <c r="C447" s="51">
        <v>4.1188993918280022E-2</v>
      </c>
      <c r="D447" s="19">
        <v>6.9444444444444447E-4</v>
      </c>
    </row>
    <row r="448" spans="1:4" x14ac:dyDescent="0.25">
      <c r="A448" s="17" t="s">
        <v>71</v>
      </c>
      <c r="B448" s="17" t="s">
        <v>69</v>
      </c>
      <c r="C448" s="53">
        <v>3.1602776871659424E-2</v>
      </c>
      <c r="D448" s="22">
        <v>6.9444444444444447E-4</v>
      </c>
    </row>
    <row r="449" spans="1:4" x14ac:dyDescent="0.25">
      <c r="A449" s="17" t="s">
        <v>71</v>
      </c>
      <c r="B449" s="17" t="s">
        <v>70</v>
      </c>
      <c r="C449" s="51">
        <v>7.5448662519621221E-2</v>
      </c>
      <c r="D449" s="19">
        <v>6.9444444444444447E-4</v>
      </c>
    </row>
    <row r="450" spans="1:4" x14ac:dyDescent="0.25">
      <c r="A450" s="17" t="s">
        <v>71</v>
      </c>
      <c r="B450" s="17" t="s">
        <v>71</v>
      </c>
      <c r="C450" s="53">
        <v>0</v>
      </c>
      <c r="D450" s="22">
        <v>0</v>
      </c>
    </row>
    <row r="451" spans="1:4" x14ac:dyDescent="0.25">
      <c r="A451" s="17" t="s">
        <v>71</v>
      </c>
      <c r="B451" s="17" t="s">
        <v>72</v>
      </c>
      <c r="C451" s="51">
        <v>8.1078654509062154E-2</v>
      </c>
      <c r="D451" s="19">
        <v>6.9444444444444447E-4</v>
      </c>
    </row>
    <row r="452" spans="1:4" x14ac:dyDescent="0.25">
      <c r="A452" s="17" t="s">
        <v>71</v>
      </c>
      <c r="B452" s="17" t="s">
        <v>73</v>
      </c>
      <c r="C452" s="53">
        <v>1.3924461533573433E-2</v>
      </c>
      <c r="D452" s="22">
        <v>6.9444444444444447E-4</v>
      </c>
    </row>
    <row r="453" spans="1:4" x14ac:dyDescent="0.25">
      <c r="A453" s="17" t="s">
        <v>71</v>
      </c>
      <c r="B453" s="17" t="s">
        <v>74</v>
      </c>
      <c r="C453" s="51">
        <v>1.9543063117122245E-2</v>
      </c>
      <c r="D453" s="19">
        <v>6.9444444444444447E-4</v>
      </c>
    </row>
    <row r="454" spans="1:4" x14ac:dyDescent="0.25">
      <c r="A454" s="17" t="s">
        <v>71</v>
      </c>
      <c r="B454" s="17" t="s">
        <v>75</v>
      </c>
      <c r="C454" s="53">
        <v>0.12201326990127156</v>
      </c>
      <c r="D454" s="22">
        <v>6.9444444444444447E-4</v>
      </c>
    </row>
    <row r="455" spans="1:4" x14ac:dyDescent="0.25">
      <c r="A455" s="17" t="s">
        <v>71</v>
      </c>
      <c r="B455" s="17" t="s">
        <v>76</v>
      </c>
      <c r="C455" s="51">
        <v>0.11613128245653473</v>
      </c>
      <c r="D455" s="19">
        <v>6.9444444444444447E-4</v>
      </c>
    </row>
    <row r="456" spans="1:4" x14ac:dyDescent="0.25">
      <c r="A456" s="17" t="s">
        <v>71</v>
      </c>
      <c r="B456" s="17" t="s">
        <v>77</v>
      </c>
      <c r="C456" s="53">
        <v>1.5021004127555746E-2</v>
      </c>
      <c r="D456" s="22">
        <v>6.9444444444444447E-4</v>
      </c>
    </row>
    <row r="457" spans="1:4" x14ac:dyDescent="0.25">
      <c r="A457" s="17" t="s">
        <v>71</v>
      </c>
      <c r="B457" s="17" t="s">
        <v>78</v>
      </c>
      <c r="C457" s="51">
        <v>2.1666809294409579E-2</v>
      </c>
      <c r="D457" s="19">
        <v>6.9444444444444447E-4</v>
      </c>
    </row>
    <row r="458" spans="1:4" x14ac:dyDescent="0.25">
      <c r="A458" s="17" t="s">
        <v>71</v>
      </c>
      <c r="B458" s="17" t="s">
        <v>79</v>
      </c>
      <c r="C458" s="53">
        <v>8.907797116010073E-2</v>
      </c>
      <c r="D458" s="22">
        <v>6.9444444444444447E-4</v>
      </c>
    </row>
    <row r="459" spans="1:4" x14ac:dyDescent="0.25">
      <c r="A459" s="17" t="s">
        <v>71</v>
      </c>
      <c r="B459" s="17" t="s">
        <v>80</v>
      </c>
      <c r="C459" s="51">
        <v>9.2318340176803043E-2</v>
      </c>
      <c r="D459" s="19">
        <v>6.9444444444444447E-4</v>
      </c>
    </row>
    <row r="460" spans="1:4" x14ac:dyDescent="0.25">
      <c r="A460" s="17" t="s">
        <v>71</v>
      </c>
      <c r="B460" s="17" t="s">
        <v>81</v>
      </c>
      <c r="C460" s="53">
        <v>0.14112923224122839</v>
      </c>
      <c r="D460" s="22">
        <v>6.9444444444444447E-4</v>
      </c>
    </row>
    <row r="461" spans="1:4" x14ac:dyDescent="0.25">
      <c r="A461" s="17" t="s">
        <v>71</v>
      </c>
      <c r="B461" s="17" t="s">
        <v>82</v>
      </c>
      <c r="C461" s="51">
        <v>7.5375513378018205E-2</v>
      </c>
      <c r="D461" s="19">
        <v>6.9444444444444447E-4</v>
      </c>
    </row>
    <row r="462" spans="1:4" x14ac:dyDescent="0.25">
      <c r="A462" s="17" t="s">
        <v>71</v>
      </c>
      <c r="B462" s="17" t="s">
        <v>83</v>
      </c>
      <c r="C462" s="53">
        <v>9.4549636667731335E-2</v>
      </c>
      <c r="D462" s="22">
        <v>6.9444444444444447E-4</v>
      </c>
    </row>
    <row r="463" spans="1:4" x14ac:dyDescent="0.25">
      <c r="A463" s="17" t="s">
        <v>71</v>
      </c>
      <c r="B463" s="17" t="s">
        <v>84</v>
      </c>
      <c r="C463" s="51">
        <v>3.504634134970349E-2</v>
      </c>
      <c r="D463" s="19">
        <v>6.9444444444444447E-4</v>
      </c>
    </row>
    <row r="464" spans="1:4" x14ac:dyDescent="0.25">
      <c r="A464" s="17" t="s">
        <v>71</v>
      </c>
      <c r="B464" s="17" t="s">
        <v>85</v>
      </c>
      <c r="C464" s="53">
        <v>8.9824415528289805E-2</v>
      </c>
      <c r="D464" s="22">
        <v>6.9444444444444447E-4</v>
      </c>
    </row>
    <row r="465" spans="1:4" x14ac:dyDescent="0.25">
      <c r="A465" s="17" t="s">
        <v>71</v>
      </c>
      <c r="B465" s="17" t="s">
        <v>86</v>
      </c>
      <c r="C465" s="51">
        <v>8.3825217601862276E-2</v>
      </c>
      <c r="D465" s="19">
        <v>6.9444444444444447E-4</v>
      </c>
    </row>
    <row r="466" spans="1:4" x14ac:dyDescent="0.25">
      <c r="A466" s="17" t="s">
        <v>71</v>
      </c>
      <c r="B466" s="17" t="s">
        <v>87</v>
      </c>
      <c r="C466" s="53">
        <v>6.2920076930970473E-2</v>
      </c>
      <c r="D466" s="22">
        <v>6.9444444444444447E-4</v>
      </c>
    </row>
    <row r="467" spans="1:4" x14ac:dyDescent="0.25">
      <c r="A467" s="17" t="s">
        <v>72</v>
      </c>
      <c r="B467" s="17" t="s">
        <v>55</v>
      </c>
      <c r="C467" s="51">
        <v>0.22151037486537239</v>
      </c>
      <c r="D467" s="19">
        <v>6.9444444444444447E-4</v>
      </c>
    </row>
    <row r="468" spans="1:4" x14ac:dyDescent="0.25">
      <c r="A468" s="17" t="s">
        <v>72</v>
      </c>
      <c r="B468" s="17" t="s">
        <v>57</v>
      </c>
      <c r="C468" s="53">
        <v>0.15475157010512247</v>
      </c>
      <c r="D468" s="22">
        <v>6.9444444444444447E-4</v>
      </c>
    </row>
    <row r="469" spans="1:4" x14ac:dyDescent="0.25">
      <c r="A469" s="17" t="s">
        <v>72</v>
      </c>
      <c r="B469" s="17" t="s">
        <v>59</v>
      </c>
      <c r="C469" s="51">
        <v>0.18554222848990115</v>
      </c>
      <c r="D469" s="19">
        <v>6.9444444444444447E-4</v>
      </c>
    </row>
    <row r="470" spans="1:4" x14ac:dyDescent="0.25">
      <c r="A470" s="17" t="s">
        <v>72</v>
      </c>
      <c r="B470" s="17" t="s">
        <v>60</v>
      </c>
      <c r="C470" s="53">
        <v>0.19512632585937398</v>
      </c>
      <c r="D470" s="22">
        <v>6.9444444444444447E-4</v>
      </c>
    </row>
    <row r="471" spans="1:4" x14ac:dyDescent="0.25">
      <c r="A471" s="17" t="s">
        <v>72</v>
      </c>
      <c r="B471" s="17" t="s">
        <v>61</v>
      </c>
      <c r="C471" s="51">
        <v>0.14827336637778199</v>
      </c>
      <c r="D471" s="19">
        <v>6.9444444444444447E-4</v>
      </c>
    </row>
    <row r="472" spans="1:4" x14ac:dyDescent="0.25">
      <c r="A472" s="17" t="s">
        <v>72</v>
      </c>
      <c r="B472" s="17" t="s">
        <v>62</v>
      </c>
      <c r="C472" s="53">
        <v>0.15313983265629952</v>
      </c>
      <c r="D472" s="22">
        <v>6.9444444444444447E-4</v>
      </c>
    </row>
    <row r="473" spans="1:4" x14ac:dyDescent="0.25">
      <c r="A473" s="17" t="s">
        <v>72</v>
      </c>
      <c r="B473" s="17" t="s">
        <v>63</v>
      </c>
      <c r="C473" s="51">
        <v>0.19408404402216792</v>
      </c>
      <c r="D473" s="19">
        <v>6.9444444444444447E-4</v>
      </c>
    </row>
    <row r="474" spans="1:4" x14ac:dyDescent="0.25">
      <c r="A474" s="17" t="s">
        <v>72</v>
      </c>
      <c r="B474" s="17" t="s">
        <v>64</v>
      </c>
      <c r="C474" s="53">
        <v>0.1202832019028426</v>
      </c>
      <c r="D474" s="22">
        <v>6.9444444444444447E-4</v>
      </c>
    </row>
    <row r="475" spans="1:4" x14ac:dyDescent="0.25">
      <c r="A475" s="17" t="s">
        <v>72</v>
      </c>
      <c r="B475" s="17" t="s">
        <v>65</v>
      </c>
      <c r="C475" s="51">
        <v>0.16427703879118202</v>
      </c>
      <c r="D475" s="19">
        <v>6.9444444444444447E-4</v>
      </c>
    </row>
    <row r="476" spans="1:4" x14ac:dyDescent="0.25">
      <c r="A476" s="17" t="s">
        <v>72</v>
      </c>
      <c r="B476" s="17" t="s">
        <v>66</v>
      </c>
      <c r="C476" s="53">
        <v>0.12644796919682061</v>
      </c>
      <c r="D476" s="22">
        <v>6.9444444444444447E-4</v>
      </c>
    </row>
    <row r="477" spans="1:4" x14ac:dyDescent="0.25">
      <c r="A477" s="17" t="s">
        <v>72</v>
      </c>
      <c r="B477" s="17" t="s">
        <v>67</v>
      </c>
      <c r="C477" s="51">
        <v>0.17147458454826597</v>
      </c>
      <c r="D477" s="19">
        <v>6.9444444444444447E-4</v>
      </c>
    </row>
    <row r="478" spans="1:4" x14ac:dyDescent="0.25">
      <c r="A478" s="17" t="s">
        <v>72</v>
      </c>
      <c r="B478" s="17" t="s">
        <v>68</v>
      </c>
      <c r="C478" s="53">
        <v>0.12037828774741548</v>
      </c>
      <c r="D478" s="22">
        <v>6.9444444444444447E-4</v>
      </c>
    </row>
    <row r="479" spans="1:4" x14ac:dyDescent="0.25">
      <c r="A479" s="17" t="s">
        <v>72</v>
      </c>
      <c r="B479" s="17" t="s">
        <v>69</v>
      </c>
      <c r="C479" s="51">
        <v>0.11261954033381388</v>
      </c>
      <c r="D479" s="19">
        <v>6.9444444444444447E-4</v>
      </c>
    </row>
    <row r="480" spans="1:4" x14ac:dyDescent="0.25">
      <c r="A480" s="17" t="s">
        <v>72</v>
      </c>
      <c r="B480" s="17" t="s">
        <v>70</v>
      </c>
      <c r="C480" s="53">
        <v>3.3727603605949952E-2</v>
      </c>
      <c r="D480" s="22">
        <v>6.9444444444444447E-4</v>
      </c>
    </row>
    <row r="481" spans="1:4" x14ac:dyDescent="0.25">
      <c r="A481" s="17" t="s">
        <v>72</v>
      </c>
      <c r="B481" s="17" t="s">
        <v>71</v>
      </c>
      <c r="C481" s="51">
        <v>8.1078654509062154E-2</v>
      </c>
      <c r="D481" s="19">
        <v>6.9444444444444447E-4</v>
      </c>
    </row>
    <row r="482" spans="1:4" x14ac:dyDescent="0.25">
      <c r="A482" s="17" t="s">
        <v>72</v>
      </c>
      <c r="B482" s="17" t="s">
        <v>72</v>
      </c>
      <c r="C482" s="53">
        <v>0</v>
      </c>
      <c r="D482" s="22">
        <v>0</v>
      </c>
    </row>
    <row r="483" spans="1:4" x14ac:dyDescent="0.25">
      <c r="A483" s="17" t="s">
        <v>72</v>
      </c>
      <c r="B483" s="17" t="s">
        <v>73</v>
      </c>
      <c r="C483" s="51">
        <v>8.4529468896947402E-2</v>
      </c>
      <c r="D483" s="19">
        <v>6.9444444444444447E-4</v>
      </c>
    </row>
    <row r="484" spans="1:4" x14ac:dyDescent="0.25">
      <c r="A484" s="17" t="s">
        <v>72</v>
      </c>
      <c r="B484" s="17" t="s">
        <v>74</v>
      </c>
      <c r="C484" s="53">
        <v>9.675669901872333E-2</v>
      </c>
      <c r="D484" s="22">
        <v>6.9444444444444447E-4</v>
      </c>
    </row>
    <row r="485" spans="1:4" x14ac:dyDescent="0.25">
      <c r="A485" s="17" t="s">
        <v>72</v>
      </c>
      <c r="B485" s="17" t="s">
        <v>75</v>
      </c>
      <c r="C485" s="51">
        <v>4.1037042888106397E-2</v>
      </c>
      <c r="D485" s="19">
        <v>6.9444444444444447E-4</v>
      </c>
    </row>
    <row r="486" spans="1:4" x14ac:dyDescent="0.25">
      <c r="A486" s="17" t="s">
        <v>72</v>
      </c>
      <c r="B486" s="17" t="s">
        <v>76</v>
      </c>
      <c r="C486" s="53">
        <v>3.5686006361036561E-2</v>
      </c>
      <c r="D486" s="22">
        <v>6.9444444444444447E-4</v>
      </c>
    </row>
    <row r="487" spans="1:4" x14ac:dyDescent="0.25">
      <c r="A487" s="17" t="s">
        <v>72</v>
      </c>
      <c r="B487" s="17" t="s">
        <v>77</v>
      </c>
      <c r="C487" s="51">
        <v>6.6658734716461443E-2</v>
      </c>
      <c r="D487" s="19">
        <v>6.9444444444444447E-4</v>
      </c>
    </row>
    <row r="488" spans="1:4" x14ac:dyDescent="0.25">
      <c r="A488" s="17" t="s">
        <v>72</v>
      </c>
      <c r="B488" s="17" t="s">
        <v>78</v>
      </c>
      <c r="C488" s="53">
        <v>7.7511603273313259E-2</v>
      </c>
      <c r="D488" s="22">
        <v>6.9444444444444447E-4</v>
      </c>
    </row>
    <row r="489" spans="1:4" x14ac:dyDescent="0.25">
      <c r="A489" s="17" t="s">
        <v>72</v>
      </c>
      <c r="B489" s="17" t="s">
        <v>79</v>
      </c>
      <c r="C489" s="51">
        <v>1.2744277343185327E-2</v>
      </c>
      <c r="D489" s="19">
        <v>6.9444444444444447E-4</v>
      </c>
    </row>
    <row r="490" spans="1:4" x14ac:dyDescent="0.25">
      <c r="A490" s="17" t="s">
        <v>72</v>
      </c>
      <c r="B490" s="17" t="s">
        <v>80</v>
      </c>
      <c r="C490" s="53">
        <v>2.4214338314314451E-2</v>
      </c>
      <c r="D490" s="22">
        <v>6.9444444444444447E-4</v>
      </c>
    </row>
    <row r="491" spans="1:4" x14ac:dyDescent="0.25">
      <c r="A491" s="17" t="s">
        <v>72</v>
      </c>
      <c r="B491" s="17" t="s">
        <v>81</v>
      </c>
      <c r="C491" s="51">
        <v>0.19680681309344844</v>
      </c>
      <c r="D491" s="19">
        <v>6.9444444444444447E-4</v>
      </c>
    </row>
    <row r="492" spans="1:4" x14ac:dyDescent="0.25">
      <c r="A492" s="17" t="s">
        <v>72</v>
      </c>
      <c r="B492" s="17" t="s">
        <v>82</v>
      </c>
      <c r="C492" s="53">
        <v>9.7007460795548534E-2</v>
      </c>
      <c r="D492" s="22">
        <v>6.9444444444444447E-4</v>
      </c>
    </row>
    <row r="493" spans="1:4" x14ac:dyDescent="0.25">
      <c r="A493" s="17" t="s">
        <v>72</v>
      </c>
      <c r="B493" s="17" t="s">
        <v>83</v>
      </c>
      <c r="C493" s="51">
        <v>0.14053856828999228</v>
      </c>
      <c r="D493" s="19">
        <v>6.9444444444444447E-4</v>
      </c>
    </row>
    <row r="494" spans="1:4" x14ac:dyDescent="0.25">
      <c r="A494" s="17" t="s">
        <v>72</v>
      </c>
      <c r="B494" s="17" t="s">
        <v>84</v>
      </c>
      <c r="C494" s="53">
        <v>7.8955856812526384E-2</v>
      </c>
      <c r="D494" s="22">
        <v>6.9444444444444447E-4</v>
      </c>
    </row>
    <row r="495" spans="1:4" x14ac:dyDescent="0.25">
      <c r="A495" s="17" t="s">
        <v>72</v>
      </c>
      <c r="B495" s="17" t="s">
        <v>85</v>
      </c>
      <c r="C495" s="51">
        <v>9.1286622557741393E-2</v>
      </c>
      <c r="D495" s="19">
        <v>6.9444444444444447E-4</v>
      </c>
    </row>
    <row r="496" spans="1:4" x14ac:dyDescent="0.25">
      <c r="A496" s="17" t="s">
        <v>72</v>
      </c>
      <c r="B496" s="17" t="s">
        <v>86</v>
      </c>
      <c r="C496" s="53">
        <v>9.5945740504727997E-2</v>
      </c>
      <c r="D496" s="22">
        <v>6.9444444444444447E-4</v>
      </c>
    </row>
    <row r="497" spans="1:4" x14ac:dyDescent="0.25">
      <c r="A497" s="17" t="s">
        <v>72</v>
      </c>
      <c r="B497" s="17" t="s">
        <v>87</v>
      </c>
      <c r="C497" s="51">
        <v>0.12066101982827453</v>
      </c>
      <c r="D497" s="19">
        <v>6.9444444444444447E-4</v>
      </c>
    </row>
    <row r="498" spans="1:4" x14ac:dyDescent="0.25">
      <c r="A498" s="17" t="s">
        <v>73</v>
      </c>
      <c r="B498" s="17" t="s">
        <v>55</v>
      </c>
      <c r="C498" s="53">
        <v>0.13967325450850976</v>
      </c>
      <c r="D498" s="22">
        <v>6.9444444444444447E-4</v>
      </c>
    </row>
    <row r="499" spans="1:4" x14ac:dyDescent="0.25">
      <c r="A499" s="17" t="s">
        <v>73</v>
      </c>
      <c r="B499" s="17" t="s">
        <v>57</v>
      </c>
      <c r="C499" s="51">
        <v>7.0802813517545748E-2</v>
      </c>
      <c r="D499" s="19">
        <v>6.9444444444444447E-4</v>
      </c>
    </row>
    <row r="500" spans="1:4" x14ac:dyDescent="0.25">
      <c r="A500" s="17" t="s">
        <v>73</v>
      </c>
      <c r="B500" s="17" t="s">
        <v>59</v>
      </c>
      <c r="C500" s="53">
        <v>0.10263167038004908</v>
      </c>
      <c r="D500" s="22">
        <v>6.9444444444444447E-4</v>
      </c>
    </row>
    <row r="501" spans="1:4" x14ac:dyDescent="0.25">
      <c r="A501" s="17" t="s">
        <v>73</v>
      </c>
      <c r="B501" s="17" t="s">
        <v>60</v>
      </c>
      <c r="C501" s="51">
        <v>0.11067668406389469</v>
      </c>
      <c r="D501" s="19">
        <v>6.9444444444444447E-4</v>
      </c>
    </row>
    <row r="502" spans="1:4" x14ac:dyDescent="0.25">
      <c r="A502" s="17" t="s">
        <v>73</v>
      </c>
      <c r="B502" s="17" t="s">
        <v>61</v>
      </c>
      <c r="C502" s="53">
        <v>6.3752053057136909E-2</v>
      </c>
      <c r="D502" s="22">
        <v>6.9444444444444447E-4</v>
      </c>
    </row>
    <row r="503" spans="1:4" x14ac:dyDescent="0.25">
      <c r="A503" s="17" t="s">
        <v>73</v>
      </c>
      <c r="B503" s="17" t="s">
        <v>62</v>
      </c>
      <c r="C503" s="51">
        <v>7.376762901164309E-2</v>
      </c>
      <c r="D503" s="19">
        <v>6.9444444444444447E-4</v>
      </c>
    </row>
    <row r="504" spans="1:4" x14ac:dyDescent="0.25">
      <c r="A504" s="17" t="s">
        <v>73</v>
      </c>
      <c r="B504" s="17" t="s">
        <v>63</v>
      </c>
      <c r="C504" s="53">
        <v>0.11236113239016284</v>
      </c>
      <c r="D504" s="22">
        <v>6.9444444444444447E-4</v>
      </c>
    </row>
    <row r="505" spans="1:4" x14ac:dyDescent="0.25">
      <c r="A505" s="17" t="s">
        <v>73</v>
      </c>
      <c r="B505" s="17" t="s">
        <v>64</v>
      </c>
      <c r="C505" s="51">
        <v>3.7295752519555192E-2</v>
      </c>
      <c r="D505" s="19">
        <v>6.9444444444444447E-4</v>
      </c>
    </row>
    <row r="506" spans="1:4" x14ac:dyDescent="0.25">
      <c r="A506" s="17" t="s">
        <v>73</v>
      </c>
      <c r="B506" s="17" t="s">
        <v>65</v>
      </c>
      <c r="C506" s="53">
        <v>7.9763101306304221E-2</v>
      </c>
      <c r="D506" s="22">
        <v>6.9444444444444447E-4</v>
      </c>
    </row>
    <row r="507" spans="1:4" x14ac:dyDescent="0.25">
      <c r="A507" s="17" t="s">
        <v>73</v>
      </c>
      <c r="B507" s="17" t="s">
        <v>66</v>
      </c>
      <c r="C507" s="51">
        <v>4.1987438145236429E-2</v>
      </c>
      <c r="D507" s="19">
        <v>6.9444444444444447E-4</v>
      </c>
    </row>
    <row r="508" spans="1:4" x14ac:dyDescent="0.25">
      <c r="A508" s="17" t="s">
        <v>73</v>
      </c>
      <c r="B508" s="17" t="s">
        <v>67</v>
      </c>
      <c r="C508" s="53">
        <v>9.5721067200485163E-2</v>
      </c>
      <c r="D508" s="22">
        <v>6.9444444444444447E-4</v>
      </c>
    </row>
    <row r="509" spans="1:4" x14ac:dyDescent="0.25">
      <c r="A509" s="17" t="s">
        <v>73</v>
      </c>
      <c r="B509" s="17" t="s">
        <v>68</v>
      </c>
      <c r="C509" s="51">
        <v>4.6081792554111996E-2</v>
      </c>
      <c r="D509" s="19">
        <v>6.9444444444444447E-4</v>
      </c>
    </row>
    <row r="510" spans="1:4" x14ac:dyDescent="0.25">
      <c r="A510" s="17" t="s">
        <v>73</v>
      </c>
      <c r="B510" s="17" t="s">
        <v>69</v>
      </c>
      <c r="C510" s="53">
        <v>3.1334990106908343E-2</v>
      </c>
      <c r="D510" s="22">
        <v>6.9444444444444447E-4</v>
      </c>
    </row>
    <row r="511" spans="1:4" x14ac:dyDescent="0.25">
      <c r="A511" s="17" t="s">
        <v>73</v>
      </c>
      <c r="B511" s="17" t="s">
        <v>70</v>
      </c>
      <c r="C511" s="51">
        <v>7.3111904700943642E-2</v>
      </c>
      <c r="D511" s="19">
        <v>6.9444444444444447E-4</v>
      </c>
    </row>
    <row r="512" spans="1:4" x14ac:dyDescent="0.25">
      <c r="A512" s="17" t="s">
        <v>73</v>
      </c>
      <c r="B512" s="17" t="s">
        <v>71</v>
      </c>
      <c r="C512" s="53">
        <v>1.3924461533573433E-2</v>
      </c>
      <c r="D512" s="22">
        <v>6.9444444444444447E-4</v>
      </c>
    </row>
    <row r="513" spans="1:4" x14ac:dyDescent="0.25">
      <c r="A513" s="17" t="s">
        <v>73</v>
      </c>
      <c r="B513" s="17" t="s">
        <v>72</v>
      </c>
      <c r="C513" s="51">
        <v>8.4529468896947402E-2</v>
      </c>
      <c r="D513" s="19">
        <v>6.9444444444444447E-4</v>
      </c>
    </row>
    <row r="514" spans="1:4" x14ac:dyDescent="0.25">
      <c r="A514" s="17" t="s">
        <v>73</v>
      </c>
      <c r="B514" s="17" t="s">
        <v>73</v>
      </c>
      <c r="C514" s="53">
        <v>0</v>
      </c>
      <c r="D514" s="22">
        <v>0</v>
      </c>
    </row>
    <row r="515" spans="1:4" x14ac:dyDescent="0.25">
      <c r="A515" s="17" t="s">
        <v>73</v>
      </c>
      <c r="B515" s="17" t="s">
        <v>74</v>
      </c>
      <c r="C515" s="51">
        <v>1.2550726233967909E-2</v>
      </c>
      <c r="D515" s="19">
        <v>6.9444444444444447E-4</v>
      </c>
    </row>
    <row r="516" spans="1:4" x14ac:dyDescent="0.25">
      <c r="A516" s="17" t="s">
        <v>73</v>
      </c>
      <c r="B516" s="17" t="s">
        <v>75</v>
      </c>
      <c r="C516" s="53">
        <v>0.12470577149835763</v>
      </c>
      <c r="D516" s="22">
        <v>6.9444444444444447E-4</v>
      </c>
    </row>
    <row r="517" spans="1:4" x14ac:dyDescent="0.25">
      <c r="A517" s="17" t="s">
        <v>73</v>
      </c>
      <c r="B517" s="17" t="s">
        <v>76</v>
      </c>
      <c r="C517" s="51">
        <v>0.11832198589442097</v>
      </c>
      <c r="D517" s="19">
        <v>6.9444444444444447E-4</v>
      </c>
    </row>
    <row r="518" spans="1:4" x14ac:dyDescent="0.25">
      <c r="A518" s="17" t="s">
        <v>73</v>
      </c>
      <c r="B518" s="17" t="s">
        <v>77</v>
      </c>
      <c r="C518" s="53">
        <v>1.9557561453313239E-2</v>
      </c>
      <c r="D518" s="22">
        <v>6.9444444444444447E-4</v>
      </c>
    </row>
    <row r="519" spans="1:4" x14ac:dyDescent="0.25">
      <c r="A519" s="17" t="s">
        <v>73</v>
      </c>
      <c r="B519" s="17" t="s">
        <v>78</v>
      </c>
      <c r="C519" s="51">
        <v>3.5518512834864388E-2</v>
      </c>
      <c r="D519" s="19">
        <v>6.9444444444444447E-4</v>
      </c>
    </row>
    <row r="520" spans="1:4" x14ac:dyDescent="0.25">
      <c r="A520" s="17" t="s">
        <v>73</v>
      </c>
      <c r="B520" s="17" t="s">
        <v>79</v>
      </c>
      <c r="C520" s="53">
        <v>9.0861210475096918E-2</v>
      </c>
      <c r="D520" s="22">
        <v>6.9444444444444447E-4</v>
      </c>
    </row>
    <row r="521" spans="1:4" x14ac:dyDescent="0.25">
      <c r="A521" s="17" t="s">
        <v>73</v>
      </c>
      <c r="B521" s="17" t="s">
        <v>80</v>
      </c>
      <c r="C521" s="51">
        <v>9.2248362695497729E-2</v>
      </c>
      <c r="D521" s="19">
        <v>6.9444444444444447E-4</v>
      </c>
    </row>
    <row r="522" spans="1:4" x14ac:dyDescent="0.25">
      <c r="A522" s="17" t="s">
        <v>73</v>
      </c>
      <c r="B522" s="17" t="s">
        <v>81</v>
      </c>
      <c r="C522" s="53">
        <v>0.12839709731921115</v>
      </c>
      <c r="D522" s="22">
        <v>6.9444444444444447E-4</v>
      </c>
    </row>
    <row r="523" spans="1:4" x14ac:dyDescent="0.25">
      <c r="A523" s="17" t="s">
        <v>73</v>
      </c>
      <c r="B523" s="17" t="s">
        <v>82</v>
      </c>
      <c r="C523" s="51">
        <v>6.280387569250831E-2</v>
      </c>
      <c r="D523" s="19">
        <v>6.9444444444444447E-4</v>
      </c>
    </row>
    <row r="524" spans="1:4" x14ac:dyDescent="0.25">
      <c r="A524" s="17" t="s">
        <v>73</v>
      </c>
      <c r="B524" s="17" t="s">
        <v>83</v>
      </c>
      <c r="C524" s="53">
        <v>8.0727469457429382E-2</v>
      </c>
      <c r="D524" s="22">
        <v>6.9444444444444447E-4</v>
      </c>
    </row>
    <row r="525" spans="1:4" x14ac:dyDescent="0.25">
      <c r="A525" s="17" t="s">
        <v>73</v>
      </c>
      <c r="B525" s="17" t="s">
        <v>84</v>
      </c>
      <c r="C525" s="51">
        <v>2.3286454796727151E-2</v>
      </c>
      <c r="D525" s="19">
        <v>6.9444444444444447E-4</v>
      </c>
    </row>
    <row r="526" spans="1:4" x14ac:dyDescent="0.25">
      <c r="A526" s="17" t="s">
        <v>73</v>
      </c>
      <c r="B526" s="17" t="s">
        <v>85</v>
      </c>
      <c r="C526" s="53">
        <v>7.8870599706096167E-2</v>
      </c>
      <c r="D526" s="22">
        <v>6.9444444444444447E-4</v>
      </c>
    </row>
    <row r="527" spans="1:4" x14ac:dyDescent="0.25">
      <c r="A527" s="17" t="s">
        <v>73</v>
      </c>
      <c r="B527" s="17" t="s">
        <v>86</v>
      </c>
      <c r="C527" s="51">
        <v>7.1894532789356008E-2</v>
      </c>
      <c r="D527" s="19">
        <v>6.9444444444444447E-4</v>
      </c>
    </row>
    <row r="528" spans="1:4" x14ac:dyDescent="0.25">
      <c r="A528" s="17" t="s">
        <v>73</v>
      </c>
      <c r="B528" s="17" t="s">
        <v>87</v>
      </c>
      <c r="C528" s="53">
        <v>4.949564572767496E-2</v>
      </c>
      <c r="D528" s="22">
        <v>6.9444444444444447E-4</v>
      </c>
    </row>
    <row r="529" spans="1:4" x14ac:dyDescent="0.25">
      <c r="A529" s="17" t="s">
        <v>74</v>
      </c>
      <c r="B529" s="17" t="s">
        <v>55</v>
      </c>
      <c r="C529" s="51">
        <v>0.12716280796679041</v>
      </c>
      <c r="D529" s="19">
        <v>6.9444444444444447E-4</v>
      </c>
    </row>
    <row r="530" spans="1:4" x14ac:dyDescent="0.25">
      <c r="A530" s="17" t="s">
        <v>74</v>
      </c>
      <c r="B530" s="17" t="s">
        <v>57</v>
      </c>
      <c r="C530" s="53">
        <v>5.8289481769872538E-2</v>
      </c>
      <c r="D530" s="22">
        <v>6.9444444444444447E-4</v>
      </c>
    </row>
    <row r="531" spans="1:4" x14ac:dyDescent="0.25">
      <c r="A531" s="17" t="s">
        <v>74</v>
      </c>
      <c r="B531" s="17" t="s">
        <v>59</v>
      </c>
      <c r="C531" s="51">
        <v>9.1870388809450518E-2</v>
      </c>
      <c r="D531" s="19">
        <v>6.9444444444444447E-4</v>
      </c>
    </row>
    <row r="532" spans="1:4" x14ac:dyDescent="0.25">
      <c r="A532" s="17" t="s">
        <v>74</v>
      </c>
      <c r="B532" s="17" t="s">
        <v>60</v>
      </c>
      <c r="C532" s="53">
        <v>9.8762184051283189E-2</v>
      </c>
      <c r="D532" s="22">
        <v>6.9444444444444447E-4</v>
      </c>
    </row>
    <row r="533" spans="1:4" x14ac:dyDescent="0.25">
      <c r="A533" s="17" t="s">
        <v>74</v>
      </c>
      <c r="B533" s="17" t="s">
        <v>61</v>
      </c>
      <c r="C533" s="51">
        <v>5.1585233313421221E-2</v>
      </c>
      <c r="D533" s="19">
        <v>6.9444444444444447E-4</v>
      </c>
    </row>
    <row r="534" spans="1:4" x14ac:dyDescent="0.25">
      <c r="A534" s="17" t="s">
        <v>74</v>
      </c>
      <c r="B534" s="17" t="s">
        <v>62</v>
      </c>
      <c r="C534" s="53">
        <v>6.5215175327526076E-2</v>
      </c>
      <c r="D534" s="22">
        <v>6.9444444444444447E-4</v>
      </c>
    </row>
    <row r="535" spans="1:4" x14ac:dyDescent="0.25">
      <c r="A535" s="17" t="s">
        <v>74</v>
      </c>
      <c r="B535" s="17" t="s">
        <v>63</v>
      </c>
      <c r="C535" s="51">
        <v>9.9877951105334262E-2</v>
      </c>
      <c r="D535" s="19">
        <v>6.9444444444444447E-4</v>
      </c>
    </row>
    <row r="536" spans="1:4" x14ac:dyDescent="0.25">
      <c r="A536" s="17" t="s">
        <v>74</v>
      </c>
      <c r="B536" s="17" t="s">
        <v>64</v>
      </c>
      <c r="C536" s="53">
        <v>2.7755349412322522E-2</v>
      </c>
      <c r="D536" s="22">
        <v>6.9444444444444447E-4</v>
      </c>
    </row>
    <row r="537" spans="1:4" x14ac:dyDescent="0.25">
      <c r="A537" s="17" t="s">
        <v>74</v>
      </c>
      <c r="B537" s="17" t="s">
        <v>65</v>
      </c>
      <c r="C537" s="51">
        <v>6.7754699563941312E-2</v>
      </c>
      <c r="D537" s="19">
        <v>6.9444444444444447E-4</v>
      </c>
    </row>
    <row r="538" spans="1:4" x14ac:dyDescent="0.25">
      <c r="A538" s="17" t="s">
        <v>74</v>
      </c>
      <c r="B538" s="17" t="s">
        <v>66</v>
      </c>
      <c r="C538" s="53">
        <v>2.9704596698155717E-2</v>
      </c>
      <c r="D538" s="22">
        <v>6.9444444444444447E-4</v>
      </c>
    </row>
    <row r="539" spans="1:4" x14ac:dyDescent="0.25">
      <c r="A539" s="17" t="s">
        <v>74</v>
      </c>
      <c r="B539" s="17" t="s">
        <v>67</v>
      </c>
      <c r="C539" s="51">
        <v>8.8168548842546796E-2</v>
      </c>
      <c r="D539" s="19">
        <v>6.9444444444444447E-4</v>
      </c>
    </row>
    <row r="540" spans="1:4" x14ac:dyDescent="0.25">
      <c r="A540" s="17" t="s">
        <v>74</v>
      </c>
      <c r="B540" s="17" t="s">
        <v>68</v>
      </c>
      <c r="C540" s="53">
        <v>3.6351840778699449E-2</v>
      </c>
      <c r="D540" s="22">
        <v>6.9444444444444447E-4</v>
      </c>
    </row>
    <row r="541" spans="1:4" x14ac:dyDescent="0.25">
      <c r="A541" s="17" t="s">
        <v>74</v>
      </c>
      <c r="B541" s="17" t="s">
        <v>69</v>
      </c>
      <c r="C541" s="51">
        <v>1.9648926739136385E-2</v>
      </c>
      <c r="D541" s="19">
        <v>6.9444444444444447E-4</v>
      </c>
    </row>
    <row r="542" spans="1:4" x14ac:dyDescent="0.25">
      <c r="A542" s="17" t="s">
        <v>74</v>
      </c>
      <c r="B542" s="17" t="s">
        <v>70</v>
      </c>
      <c r="C542" s="53">
        <v>8.5520921416926146E-2</v>
      </c>
      <c r="D542" s="22">
        <v>6.9444444444444447E-4</v>
      </c>
    </row>
    <row r="543" spans="1:4" x14ac:dyDescent="0.25">
      <c r="A543" s="17" t="s">
        <v>74</v>
      </c>
      <c r="B543" s="17" t="s">
        <v>71</v>
      </c>
      <c r="C543" s="51">
        <v>1.9543063117122245E-2</v>
      </c>
      <c r="D543" s="19">
        <v>6.9444444444444447E-4</v>
      </c>
    </row>
    <row r="544" spans="1:4" x14ac:dyDescent="0.25">
      <c r="A544" s="17" t="s">
        <v>74</v>
      </c>
      <c r="B544" s="17" t="s">
        <v>72</v>
      </c>
      <c r="C544" s="53">
        <v>9.675669901872333E-2</v>
      </c>
      <c r="D544" s="22">
        <v>6.9444444444444447E-4</v>
      </c>
    </row>
    <row r="545" spans="1:4" x14ac:dyDescent="0.25">
      <c r="A545" s="17" t="s">
        <v>74</v>
      </c>
      <c r="B545" s="17" t="s">
        <v>73</v>
      </c>
      <c r="C545" s="51">
        <v>1.2550726233967909E-2</v>
      </c>
      <c r="D545" s="19">
        <v>6.9444444444444447E-4</v>
      </c>
    </row>
    <row r="546" spans="1:4" x14ac:dyDescent="0.25">
      <c r="A546" s="17" t="s">
        <v>74</v>
      </c>
      <c r="B546" s="17" t="s">
        <v>74</v>
      </c>
      <c r="C546" s="53">
        <v>0</v>
      </c>
      <c r="D546" s="22">
        <v>0</v>
      </c>
    </row>
    <row r="547" spans="1:4" x14ac:dyDescent="0.25">
      <c r="A547" s="17" t="s">
        <v>74</v>
      </c>
      <c r="B547" s="17" t="s">
        <v>75</v>
      </c>
      <c r="C547" s="51">
        <v>0.13710662695873066</v>
      </c>
      <c r="D547" s="19">
        <v>6.9444444444444447E-4</v>
      </c>
    </row>
    <row r="548" spans="1:4" x14ac:dyDescent="0.25">
      <c r="A548" s="17" t="s">
        <v>74</v>
      </c>
      <c r="B548" s="17" t="s">
        <v>76</v>
      </c>
      <c r="C548" s="53">
        <v>0.13077844258515786</v>
      </c>
      <c r="D548" s="22">
        <v>6.9444444444444447E-4</v>
      </c>
    </row>
    <row r="549" spans="1:4" x14ac:dyDescent="0.25">
      <c r="A549" s="17" t="s">
        <v>74</v>
      </c>
      <c r="B549" s="17" t="s">
        <v>77</v>
      </c>
      <c r="C549" s="51">
        <v>3.068810735447982E-2</v>
      </c>
      <c r="D549" s="19">
        <v>6.9444444444444447E-4</v>
      </c>
    </row>
    <row r="550" spans="1:4" x14ac:dyDescent="0.25">
      <c r="A550" s="17" t="s">
        <v>74</v>
      </c>
      <c r="B550" s="17" t="s">
        <v>78</v>
      </c>
      <c r="C550" s="53">
        <v>3.9591481924778994E-2</v>
      </c>
      <c r="D550" s="22">
        <v>6.9444444444444447E-4</v>
      </c>
    </row>
    <row r="551" spans="1:4" x14ac:dyDescent="0.25">
      <c r="A551" s="17" t="s">
        <v>74</v>
      </c>
      <c r="B551" s="17" t="s">
        <v>79</v>
      </c>
      <c r="C551" s="51">
        <v>0.10333595816558627</v>
      </c>
      <c r="D551" s="19">
        <v>6.9444444444444447E-4</v>
      </c>
    </row>
    <row r="552" spans="1:4" x14ac:dyDescent="0.25">
      <c r="A552" s="17" t="s">
        <v>74</v>
      </c>
      <c r="B552" s="17" t="s">
        <v>80</v>
      </c>
      <c r="C552" s="53">
        <v>0.10479750638731924</v>
      </c>
      <c r="D552" s="22">
        <v>6.9444444444444447E-4</v>
      </c>
    </row>
    <row r="553" spans="1:4" x14ac:dyDescent="0.25">
      <c r="A553" s="17" t="s">
        <v>74</v>
      </c>
      <c r="B553" s="17" t="s">
        <v>81</v>
      </c>
      <c r="C553" s="51">
        <v>0.12258046681670053</v>
      </c>
      <c r="D553" s="19">
        <v>6.9444444444444447E-4</v>
      </c>
    </row>
    <row r="554" spans="1:4" x14ac:dyDescent="0.25">
      <c r="A554" s="17" t="s">
        <v>74</v>
      </c>
      <c r="B554" s="17" t="s">
        <v>82</v>
      </c>
      <c r="C554" s="53">
        <v>6.8698077010938427E-2</v>
      </c>
      <c r="D554" s="22">
        <v>6.9444444444444447E-4</v>
      </c>
    </row>
    <row r="555" spans="1:4" x14ac:dyDescent="0.25">
      <c r="A555" s="17" t="s">
        <v>74</v>
      </c>
      <c r="B555" s="17" t="s">
        <v>83</v>
      </c>
      <c r="C555" s="51">
        <v>7.8960245149069172E-2</v>
      </c>
      <c r="D555" s="19">
        <v>6.9444444444444447E-4</v>
      </c>
    </row>
    <row r="556" spans="1:4" x14ac:dyDescent="0.25">
      <c r="A556" s="17" t="s">
        <v>74</v>
      </c>
      <c r="B556" s="17" t="s">
        <v>84</v>
      </c>
      <c r="C556" s="53">
        <v>3.2253629408180759E-2</v>
      </c>
      <c r="D556" s="22">
        <v>6.9444444444444447E-4</v>
      </c>
    </row>
    <row r="557" spans="1:4" x14ac:dyDescent="0.25">
      <c r="A557" s="17" t="s">
        <v>74</v>
      </c>
      <c r="B557" s="17" t="s">
        <v>85</v>
      </c>
      <c r="C557" s="51">
        <v>8.6865648267885801E-2</v>
      </c>
      <c r="D557" s="19">
        <v>6.9444444444444447E-4</v>
      </c>
    </row>
    <row r="558" spans="1:4" x14ac:dyDescent="0.25">
      <c r="A558" s="17" t="s">
        <v>74</v>
      </c>
      <c r="B558" s="17" t="s">
        <v>86</v>
      </c>
      <c r="C558" s="53">
        <v>7.8709898246665952E-2</v>
      </c>
      <c r="D558" s="22">
        <v>6.9444444444444447E-4</v>
      </c>
    </row>
    <row r="559" spans="1:4" x14ac:dyDescent="0.25">
      <c r="A559" s="17" t="s">
        <v>74</v>
      </c>
      <c r="B559" s="17" t="s">
        <v>87</v>
      </c>
      <c r="C559" s="51">
        <v>4.6189069800117125E-2</v>
      </c>
      <c r="D559" s="19">
        <v>6.9444444444444447E-4</v>
      </c>
    </row>
    <row r="560" spans="1:4" x14ac:dyDescent="0.25">
      <c r="A560" s="17" t="s">
        <v>75</v>
      </c>
      <c r="B560" s="17" t="s">
        <v>55</v>
      </c>
      <c r="C560" s="53">
        <v>0.26250402513104271</v>
      </c>
      <c r="D560" s="22">
        <v>6.9444444444444447E-4</v>
      </c>
    </row>
    <row r="561" spans="1:4" x14ac:dyDescent="0.25">
      <c r="A561" s="17" t="s">
        <v>75</v>
      </c>
      <c r="B561" s="17" t="s">
        <v>57</v>
      </c>
      <c r="C561" s="51">
        <v>0.19531659158658765</v>
      </c>
      <c r="D561" s="19">
        <v>6.9444444444444447E-4</v>
      </c>
    </row>
    <row r="562" spans="1:4" x14ac:dyDescent="0.25">
      <c r="A562" s="17" t="s">
        <v>75</v>
      </c>
      <c r="B562" s="17" t="s">
        <v>59</v>
      </c>
      <c r="C562" s="53">
        <v>0.22397714240520009</v>
      </c>
      <c r="D562" s="22">
        <v>6.9444444444444447E-4</v>
      </c>
    </row>
    <row r="563" spans="1:4" x14ac:dyDescent="0.25">
      <c r="A563" s="17" t="s">
        <v>75</v>
      </c>
      <c r="B563" s="17" t="s">
        <v>60</v>
      </c>
      <c r="C563" s="51">
        <v>0.23481480012592776</v>
      </c>
      <c r="D563" s="19">
        <v>6.9444444444444447E-4</v>
      </c>
    </row>
    <row r="564" spans="1:4" x14ac:dyDescent="0.25">
      <c r="A564" s="17" t="s">
        <v>75</v>
      </c>
      <c r="B564" s="17" t="s">
        <v>61</v>
      </c>
      <c r="C564" s="53">
        <v>0.18838121151537623</v>
      </c>
      <c r="D564" s="22">
        <v>6.9444444444444447E-4</v>
      </c>
    </row>
    <row r="565" spans="1:4" x14ac:dyDescent="0.25">
      <c r="A565" s="17" t="s">
        <v>75</v>
      </c>
      <c r="B565" s="17" t="s">
        <v>62</v>
      </c>
      <c r="C565" s="51">
        <v>0.19035251961820707</v>
      </c>
      <c r="D565" s="19">
        <v>6.9444444444444447E-4</v>
      </c>
    </row>
    <row r="566" spans="1:4" x14ac:dyDescent="0.25">
      <c r="A566" s="17" t="s">
        <v>75</v>
      </c>
      <c r="B566" s="17" t="s">
        <v>63</v>
      </c>
      <c r="C566" s="53">
        <v>0.23507041719663516</v>
      </c>
      <c r="D566" s="22">
        <v>6.9444444444444447E-4</v>
      </c>
    </row>
    <row r="567" spans="1:4" x14ac:dyDescent="0.25">
      <c r="A567" s="17" t="s">
        <v>75</v>
      </c>
      <c r="B567" s="17" t="s">
        <v>64</v>
      </c>
      <c r="C567" s="51">
        <v>0.15939926579818581</v>
      </c>
      <c r="D567" s="19">
        <v>6.9444444444444447E-4</v>
      </c>
    </row>
    <row r="568" spans="1:4" x14ac:dyDescent="0.25">
      <c r="A568" s="17" t="s">
        <v>75</v>
      </c>
      <c r="B568" s="17" t="s">
        <v>65</v>
      </c>
      <c r="C568" s="53">
        <v>0.20418013192522053</v>
      </c>
      <c r="D568" s="22">
        <v>6.9444444444444447E-4</v>
      </c>
    </row>
    <row r="569" spans="1:4" x14ac:dyDescent="0.25">
      <c r="A569" s="17" t="s">
        <v>75</v>
      </c>
      <c r="B569" s="17" t="s">
        <v>66</v>
      </c>
      <c r="C569" s="51">
        <v>0.16669118810843303</v>
      </c>
      <c r="D569" s="19">
        <v>6.9444444444444447E-4</v>
      </c>
    </row>
    <row r="570" spans="1:4" x14ac:dyDescent="0.25">
      <c r="A570" s="17" t="s">
        <v>75</v>
      </c>
      <c r="B570" s="17" t="s">
        <v>67</v>
      </c>
      <c r="C570" s="53">
        <v>0.20695159218764403</v>
      </c>
      <c r="D570" s="22">
        <v>6.9444444444444447E-4</v>
      </c>
    </row>
    <row r="571" spans="1:4" x14ac:dyDescent="0.25">
      <c r="A571" s="17" t="s">
        <v>75</v>
      </c>
      <c r="B571" s="17" t="s">
        <v>68</v>
      </c>
      <c r="C571" s="51">
        <v>0.16139301849832463</v>
      </c>
      <c r="D571" s="19">
        <v>6.9444444444444447E-4</v>
      </c>
    </row>
    <row r="572" spans="1:4" x14ac:dyDescent="0.25">
      <c r="A572" s="17" t="s">
        <v>75</v>
      </c>
      <c r="B572" s="17" t="s">
        <v>69</v>
      </c>
      <c r="C572" s="53">
        <v>0.15348316210581645</v>
      </c>
      <c r="D572" s="22">
        <v>6.9444444444444447E-4</v>
      </c>
    </row>
    <row r="573" spans="1:4" x14ac:dyDescent="0.25">
      <c r="A573" s="17" t="s">
        <v>75</v>
      </c>
      <c r="B573" s="17" t="s">
        <v>70</v>
      </c>
      <c r="C573" s="51">
        <v>6.0139197500466549E-2</v>
      </c>
      <c r="D573" s="19">
        <v>6.9444444444444447E-4</v>
      </c>
    </row>
    <row r="574" spans="1:4" x14ac:dyDescent="0.25">
      <c r="A574" s="17" t="s">
        <v>75</v>
      </c>
      <c r="B574" s="17" t="s">
        <v>71</v>
      </c>
      <c r="C574" s="53">
        <v>0.12201326990127156</v>
      </c>
      <c r="D574" s="22">
        <v>6.9444444444444447E-4</v>
      </c>
    </row>
    <row r="575" spans="1:4" x14ac:dyDescent="0.25">
      <c r="A575" s="17" t="s">
        <v>75</v>
      </c>
      <c r="B575" s="17" t="s">
        <v>72</v>
      </c>
      <c r="C575" s="51">
        <v>4.1037042888106397E-2</v>
      </c>
      <c r="D575" s="19">
        <v>6.9444444444444447E-4</v>
      </c>
    </row>
    <row r="576" spans="1:4" x14ac:dyDescent="0.25">
      <c r="A576" s="17" t="s">
        <v>75</v>
      </c>
      <c r="B576" s="17" t="s">
        <v>73</v>
      </c>
      <c r="C576" s="53">
        <v>0.12470577149835763</v>
      </c>
      <c r="D576" s="22">
        <v>6.9444444444444447E-4</v>
      </c>
    </row>
    <row r="577" spans="1:4" x14ac:dyDescent="0.25">
      <c r="A577" s="17" t="s">
        <v>75</v>
      </c>
      <c r="B577" s="17" t="s">
        <v>74</v>
      </c>
      <c r="C577" s="51">
        <v>0.13710662695873066</v>
      </c>
      <c r="D577" s="19">
        <v>6.9444444444444447E-4</v>
      </c>
    </row>
    <row r="578" spans="1:4" x14ac:dyDescent="0.25">
      <c r="A578" s="17" t="s">
        <v>75</v>
      </c>
      <c r="B578" s="17" t="s">
        <v>75</v>
      </c>
      <c r="C578" s="53">
        <v>0</v>
      </c>
      <c r="D578" s="22">
        <v>0</v>
      </c>
    </row>
    <row r="579" spans="1:4" x14ac:dyDescent="0.25">
      <c r="A579" s="17" t="s">
        <v>75</v>
      </c>
      <c r="B579" s="17" t="s">
        <v>76</v>
      </c>
      <c r="C579" s="51">
        <v>7.557050548992696E-3</v>
      </c>
      <c r="D579" s="19">
        <v>6.9444444444444447E-4</v>
      </c>
    </row>
    <row r="580" spans="1:4" x14ac:dyDescent="0.25">
      <c r="A580" s="17" t="s">
        <v>75</v>
      </c>
      <c r="B580" s="17" t="s">
        <v>77</v>
      </c>
      <c r="C580" s="53">
        <v>0.10743275186366566</v>
      </c>
      <c r="D580" s="22">
        <v>6.9444444444444447E-4</v>
      </c>
    </row>
    <row r="581" spans="1:4" x14ac:dyDescent="0.25">
      <c r="A581" s="17" t="s">
        <v>75</v>
      </c>
      <c r="B581" s="17" t="s">
        <v>78</v>
      </c>
      <c r="C581" s="51">
        <v>0.11809639476715683</v>
      </c>
      <c r="D581" s="19">
        <v>6.9444444444444447E-4</v>
      </c>
    </row>
    <row r="582" spans="1:4" x14ac:dyDescent="0.25">
      <c r="A582" s="17" t="s">
        <v>75</v>
      </c>
      <c r="B582" s="17" t="s">
        <v>79</v>
      </c>
      <c r="C582" s="53">
        <v>3.4179267780339813E-2</v>
      </c>
      <c r="D582" s="22">
        <v>6.9444444444444447E-4</v>
      </c>
    </row>
    <row r="583" spans="1:4" x14ac:dyDescent="0.25">
      <c r="A583" s="17" t="s">
        <v>75</v>
      </c>
      <c r="B583" s="17" t="s">
        <v>80</v>
      </c>
      <c r="C583" s="51">
        <v>3.7707739218892061E-2</v>
      </c>
      <c r="D583" s="19">
        <v>6.9444444444444447E-4</v>
      </c>
    </row>
    <row r="584" spans="1:4" x14ac:dyDescent="0.25">
      <c r="A584" s="17" t="s">
        <v>75</v>
      </c>
      <c r="B584" s="17" t="s">
        <v>81</v>
      </c>
      <c r="C584" s="53">
        <v>0.22884824530024175</v>
      </c>
      <c r="D584" s="22">
        <v>6.9444444444444447E-4</v>
      </c>
    </row>
    <row r="585" spans="1:4" x14ac:dyDescent="0.25">
      <c r="A585" s="17" t="s">
        <v>75</v>
      </c>
      <c r="B585" s="17" t="s">
        <v>82</v>
      </c>
      <c r="C585" s="51">
        <v>0.12557233870960396</v>
      </c>
      <c r="D585" s="19">
        <v>6.9444444444444447E-4</v>
      </c>
    </row>
    <row r="586" spans="1:4" x14ac:dyDescent="0.25">
      <c r="A586" s="17" t="s">
        <v>75</v>
      </c>
      <c r="B586" s="17" t="s">
        <v>83</v>
      </c>
      <c r="C586" s="53">
        <v>0.17191704118556964</v>
      </c>
      <c r="D586" s="22">
        <v>6.9444444444444447E-4</v>
      </c>
    </row>
    <row r="587" spans="1:4" x14ac:dyDescent="0.25">
      <c r="A587" s="17" t="s">
        <v>75</v>
      </c>
      <c r="B587" s="17" t="s">
        <v>84</v>
      </c>
      <c r="C587" s="51">
        <v>0.11626450650994258</v>
      </c>
      <c r="D587" s="19">
        <v>6.9444444444444447E-4</v>
      </c>
    </row>
    <row r="588" spans="1:4" x14ac:dyDescent="0.25">
      <c r="A588" s="17" t="s">
        <v>75</v>
      </c>
      <c r="B588" s="17" t="s">
        <v>85</v>
      </c>
      <c r="C588" s="53">
        <v>0.11353429494650162</v>
      </c>
      <c r="D588" s="22">
        <v>6.9444444444444447E-4</v>
      </c>
    </row>
    <row r="589" spans="1:4" x14ac:dyDescent="0.25">
      <c r="A589" s="17" t="s">
        <v>75</v>
      </c>
      <c r="B589" s="17" t="s">
        <v>86</v>
      </c>
      <c r="C589" s="51">
        <v>0.12140501384210023</v>
      </c>
      <c r="D589" s="19">
        <v>6.9444444444444447E-4</v>
      </c>
    </row>
    <row r="590" spans="1:4" x14ac:dyDescent="0.25">
      <c r="A590" s="17" t="s">
        <v>75</v>
      </c>
      <c r="B590" s="17" t="s">
        <v>87</v>
      </c>
      <c r="C590" s="53">
        <v>0.15649877144884997</v>
      </c>
      <c r="D590" s="22">
        <v>6.9444444444444447E-4</v>
      </c>
    </row>
    <row r="591" spans="1:4" x14ac:dyDescent="0.25">
      <c r="A591" s="17" t="s">
        <v>76</v>
      </c>
      <c r="B591" s="17" t="s">
        <v>55</v>
      </c>
      <c r="C591" s="51">
        <v>0.25664486836287381</v>
      </c>
      <c r="D591" s="19">
        <v>6.9444444444444447E-4</v>
      </c>
    </row>
    <row r="592" spans="1:4" x14ac:dyDescent="0.25">
      <c r="A592" s="17" t="s">
        <v>76</v>
      </c>
      <c r="B592" s="17" t="s">
        <v>57</v>
      </c>
      <c r="C592" s="53">
        <v>0.18904790863693841</v>
      </c>
      <c r="D592" s="22">
        <v>6.9444444444444447E-4</v>
      </c>
    </row>
    <row r="593" spans="1:4" x14ac:dyDescent="0.25">
      <c r="A593" s="17" t="s">
        <v>76</v>
      </c>
      <c r="B593" s="17" t="s">
        <v>59</v>
      </c>
      <c r="C593" s="51">
        <v>0.21701331709597393</v>
      </c>
      <c r="D593" s="19">
        <v>6.9444444444444447E-4</v>
      </c>
    </row>
    <row r="594" spans="1:4" x14ac:dyDescent="0.25">
      <c r="A594" s="17" t="s">
        <v>76</v>
      </c>
      <c r="B594" s="17" t="s">
        <v>60</v>
      </c>
      <c r="C594" s="53">
        <v>0.22814866923078383</v>
      </c>
      <c r="D594" s="22">
        <v>6.9444444444444447E-4</v>
      </c>
    </row>
    <row r="595" spans="1:4" x14ac:dyDescent="0.25">
      <c r="A595" s="17" t="s">
        <v>76</v>
      </c>
      <c r="B595" s="17" t="s">
        <v>61</v>
      </c>
      <c r="C595" s="51">
        <v>0.18189273065463449</v>
      </c>
      <c r="D595" s="19">
        <v>6.9444444444444447E-4</v>
      </c>
    </row>
    <row r="596" spans="1:4" x14ac:dyDescent="0.25">
      <c r="A596" s="17" t="s">
        <v>76</v>
      </c>
      <c r="B596" s="17" t="s">
        <v>62</v>
      </c>
      <c r="C596" s="53">
        <v>0.18321820002390229</v>
      </c>
      <c r="D596" s="22">
        <v>6.9444444444444447E-4</v>
      </c>
    </row>
    <row r="597" spans="1:4" x14ac:dyDescent="0.25">
      <c r="A597" s="17" t="s">
        <v>76</v>
      </c>
      <c r="B597" s="17" t="s">
        <v>63</v>
      </c>
      <c r="C597" s="51">
        <v>0.22920239555903008</v>
      </c>
      <c r="D597" s="19">
        <v>6.9444444444444447E-4</v>
      </c>
    </row>
    <row r="598" spans="1:4" x14ac:dyDescent="0.25">
      <c r="A598" s="17" t="s">
        <v>76</v>
      </c>
      <c r="B598" s="17" t="s">
        <v>64</v>
      </c>
      <c r="C598" s="53">
        <v>0.15263393096556049</v>
      </c>
      <c r="D598" s="22">
        <v>6.9444444444444447E-4</v>
      </c>
    </row>
    <row r="599" spans="1:4" x14ac:dyDescent="0.25">
      <c r="A599" s="17" t="s">
        <v>76</v>
      </c>
      <c r="B599" s="17" t="s">
        <v>65</v>
      </c>
      <c r="C599" s="51">
        <v>0.19760317196846527</v>
      </c>
      <c r="D599" s="19">
        <v>6.9444444444444447E-4</v>
      </c>
    </row>
    <row r="600" spans="1:4" x14ac:dyDescent="0.25">
      <c r="A600" s="17" t="s">
        <v>76</v>
      </c>
      <c r="B600" s="17" t="s">
        <v>66</v>
      </c>
      <c r="C600" s="53">
        <v>0.16027854746034995</v>
      </c>
      <c r="D600" s="22">
        <v>6.9444444444444447E-4</v>
      </c>
    </row>
    <row r="601" spans="1:4" x14ac:dyDescent="0.25">
      <c r="A601" s="17" t="s">
        <v>76</v>
      </c>
      <c r="B601" s="17" t="s">
        <v>67</v>
      </c>
      <c r="C601" s="51">
        <v>0.19962343951550296</v>
      </c>
      <c r="D601" s="19">
        <v>6.9444444444444447E-4</v>
      </c>
    </row>
    <row r="602" spans="1:4" x14ac:dyDescent="0.25">
      <c r="A602" s="17" t="s">
        <v>76</v>
      </c>
      <c r="B602" s="17" t="s">
        <v>68</v>
      </c>
      <c r="C602" s="53">
        <v>0.15592292334675853</v>
      </c>
      <c r="D602" s="22">
        <v>6.9444444444444447E-4</v>
      </c>
    </row>
    <row r="603" spans="1:4" x14ac:dyDescent="0.25">
      <c r="A603" s="17" t="s">
        <v>76</v>
      </c>
      <c r="B603" s="17" t="s">
        <v>69</v>
      </c>
      <c r="C603" s="51">
        <v>0.14748104586352459</v>
      </c>
      <c r="D603" s="19">
        <v>6.9444444444444447E-4</v>
      </c>
    </row>
    <row r="604" spans="1:4" x14ac:dyDescent="0.25">
      <c r="A604" s="17" t="s">
        <v>76</v>
      </c>
      <c r="B604" s="17" t="s">
        <v>70</v>
      </c>
      <c r="C604" s="53">
        <v>5.2678555456654473E-2</v>
      </c>
      <c r="D604" s="22">
        <v>6.9444444444444447E-4</v>
      </c>
    </row>
    <row r="605" spans="1:4" x14ac:dyDescent="0.25">
      <c r="A605" s="17" t="s">
        <v>76</v>
      </c>
      <c r="B605" s="17" t="s">
        <v>71</v>
      </c>
      <c r="C605" s="51">
        <v>0.11613128245653473</v>
      </c>
      <c r="D605" s="19">
        <v>6.9444444444444447E-4</v>
      </c>
    </row>
    <row r="606" spans="1:4" x14ac:dyDescent="0.25">
      <c r="A606" s="17" t="s">
        <v>76</v>
      </c>
      <c r="B606" s="17" t="s">
        <v>72</v>
      </c>
      <c r="C606" s="53">
        <v>3.5686006361036561E-2</v>
      </c>
      <c r="D606" s="22">
        <v>6.9444444444444447E-4</v>
      </c>
    </row>
    <row r="607" spans="1:4" x14ac:dyDescent="0.25">
      <c r="A607" s="17" t="s">
        <v>76</v>
      </c>
      <c r="B607" s="17" t="s">
        <v>73</v>
      </c>
      <c r="C607" s="51">
        <v>0.11832198589442097</v>
      </c>
      <c r="D607" s="19">
        <v>6.9444444444444447E-4</v>
      </c>
    </row>
    <row r="608" spans="1:4" x14ac:dyDescent="0.25">
      <c r="A608" s="17" t="s">
        <v>76</v>
      </c>
      <c r="B608" s="17" t="s">
        <v>74</v>
      </c>
      <c r="C608" s="53">
        <v>0.13077844258515786</v>
      </c>
      <c r="D608" s="22">
        <v>6.9444444444444447E-4</v>
      </c>
    </row>
    <row r="609" spans="1:4" x14ac:dyDescent="0.25">
      <c r="A609" s="17" t="s">
        <v>76</v>
      </c>
      <c r="B609" s="17" t="s">
        <v>75</v>
      </c>
      <c r="C609" s="51">
        <v>7.557050548992696E-3</v>
      </c>
      <c r="D609" s="19">
        <v>6.9444444444444447E-4</v>
      </c>
    </row>
    <row r="610" spans="1:4" x14ac:dyDescent="0.25">
      <c r="A610" s="17" t="s">
        <v>76</v>
      </c>
      <c r="B610" s="17" t="s">
        <v>76</v>
      </c>
      <c r="C610" s="53">
        <v>0</v>
      </c>
      <c r="D610" s="22">
        <v>0</v>
      </c>
    </row>
    <row r="611" spans="1:4" x14ac:dyDescent="0.25">
      <c r="A611" s="17" t="s">
        <v>76</v>
      </c>
      <c r="B611" s="17" t="s">
        <v>77</v>
      </c>
      <c r="C611" s="51">
        <v>0.10141266327238958</v>
      </c>
      <c r="D611" s="19">
        <v>6.9444444444444447E-4</v>
      </c>
    </row>
    <row r="612" spans="1:4" x14ac:dyDescent="0.25">
      <c r="A612" s="17" t="s">
        <v>76</v>
      </c>
      <c r="B612" s="17" t="s">
        <v>78</v>
      </c>
      <c r="C612" s="53">
        <v>0.11317381693660024</v>
      </c>
      <c r="D612" s="22">
        <v>6.9444444444444447E-4</v>
      </c>
    </row>
    <row r="613" spans="1:4" x14ac:dyDescent="0.25">
      <c r="A613" s="17" t="s">
        <v>76</v>
      </c>
      <c r="B613" s="17" t="s">
        <v>79</v>
      </c>
      <c r="C613" s="51">
        <v>2.7486804925271613E-2</v>
      </c>
      <c r="D613" s="19">
        <v>6.9444444444444447E-4</v>
      </c>
    </row>
    <row r="614" spans="1:4" x14ac:dyDescent="0.25">
      <c r="A614" s="17" t="s">
        <v>76</v>
      </c>
      <c r="B614" s="17" t="s">
        <v>80</v>
      </c>
      <c r="C614" s="53">
        <v>3.0195173289779706E-2</v>
      </c>
      <c r="D614" s="22">
        <v>6.9444444444444447E-4</v>
      </c>
    </row>
    <row r="615" spans="1:4" x14ac:dyDescent="0.25">
      <c r="A615" s="17" t="s">
        <v>76</v>
      </c>
      <c r="B615" s="17" t="s">
        <v>81</v>
      </c>
      <c r="C615" s="51">
        <v>0.22133021458896779</v>
      </c>
      <c r="D615" s="19">
        <v>6.9444444444444447E-4</v>
      </c>
    </row>
    <row r="616" spans="1:4" x14ac:dyDescent="0.25">
      <c r="A616" s="17" t="s">
        <v>76</v>
      </c>
      <c r="B616" s="17" t="s">
        <v>82</v>
      </c>
      <c r="C616" s="53">
        <v>0.11802205497278465</v>
      </c>
      <c r="D616" s="22">
        <v>6.9444444444444447E-4</v>
      </c>
    </row>
    <row r="617" spans="1:4" x14ac:dyDescent="0.25">
      <c r="A617" s="17" t="s">
        <v>76</v>
      </c>
      <c r="B617" s="17" t="s">
        <v>83</v>
      </c>
      <c r="C617" s="51">
        <v>0.16439732753606423</v>
      </c>
      <c r="D617" s="19">
        <v>6.9444444444444447E-4</v>
      </c>
    </row>
    <row r="618" spans="1:4" x14ac:dyDescent="0.25">
      <c r="A618" s="17" t="s">
        <v>76</v>
      </c>
      <c r="B618" s="17" t="s">
        <v>84</v>
      </c>
      <c r="C618" s="53">
        <v>0.10924664976556331</v>
      </c>
      <c r="D618" s="22">
        <v>6.9444444444444447E-4</v>
      </c>
    </row>
    <row r="619" spans="1:4" x14ac:dyDescent="0.25">
      <c r="A619" s="17" t="s">
        <v>76</v>
      </c>
      <c r="B619" s="17" t="s">
        <v>85</v>
      </c>
      <c r="C619" s="51">
        <v>0.10603570087474766</v>
      </c>
      <c r="D619" s="19">
        <v>6.9444444444444447E-4</v>
      </c>
    </row>
    <row r="620" spans="1:4" x14ac:dyDescent="0.25">
      <c r="A620" s="17" t="s">
        <v>76</v>
      </c>
      <c r="B620" s="17" t="s">
        <v>86</v>
      </c>
      <c r="C620" s="53">
        <v>0.11385577118881632</v>
      </c>
      <c r="D620" s="22">
        <v>6.9444444444444447E-4</v>
      </c>
    </row>
    <row r="621" spans="1:4" x14ac:dyDescent="0.25">
      <c r="A621" s="17" t="s">
        <v>76</v>
      </c>
      <c r="B621" s="17" t="s">
        <v>87</v>
      </c>
      <c r="C621" s="51">
        <v>0.14924171445007745</v>
      </c>
      <c r="D621" s="19">
        <v>6.9444444444444447E-4</v>
      </c>
    </row>
    <row r="622" spans="1:4" x14ac:dyDescent="0.25">
      <c r="A622" s="17" t="s">
        <v>77</v>
      </c>
      <c r="B622" s="17" t="s">
        <v>55</v>
      </c>
      <c r="C622" s="53">
        <v>0.15527095313998529</v>
      </c>
      <c r="D622" s="22">
        <v>6.9444444444444447E-4</v>
      </c>
    </row>
    <row r="623" spans="1:4" x14ac:dyDescent="0.25">
      <c r="A623" s="17" t="s">
        <v>77</v>
      </c>
      <c r="B623" s="17" t="s">
        <v>57</v>
      </c>
      <c r="C623" s="51">
        <v>8.8134743569156085E-2</v>
      </c>
      <c r="D623" s="19">
        <v>6.9444444444444447E-4</v>
      </c>
    </row>
    <row r="624" spans="1:4" x14ac:dyDescent="0.25">
      <c r="A624" s="17" t="s">
        <v>77</v>
      </c>
      <c r="B624" s="17" t="s">
        <v>59</v>
      </c>
      <c r="C624" s="53">
        <v>0.12210032051145324</v>
      </c>
      <c r="D624" s="22">
        <v>6.9444444444444447E-4</v>
      </c>
    </row>
    <row r="625" spans="1:4" x14ac:dyDescent="0.25">
      <c r="A625" s="17" t="s">
        <v>77</v>
      </c>
      <c r="B625" s="17" t="s">
        <v>60</v>
      </c>
      <c r="C625" s="51">
        <v>0.12943526159659799</v>
      </c>
      <c r="D625" s="19">
        <v>6.9444444444444447E-4</v>
      </c>
    </row>
    <row r="626" spans="1:4" x14ac:dyDescent="0.25">
      <c r="A626" s="17" t="s">
        <v>77</v>
      </c>
      <c r="B626" s="17" t="s">
        <v>61</v>
      </c>
      <c r="C626" s="53">
        <v>8.2179541888479965E-2</v>
      </c>
      <c r="D626" s="22">
        <v>6.9444444444444447E-4</v>
      </c>
    </row>
    <row r="627" spans="1:4" x14ac:dyDescent="0.25">
      <c r="A627" s="17" t="s">
        <v>77</v>
      </c>
      <c r="B627" s="17" t="s">
        <v>62</v>
      </c>
      <c r="C627" s="51">
        <v>9.3163776415513905E-2</v>
      </c>
      <c r="D627" s="19">
        <v>6.9444444444444447E-4</v>
      </c>
    </row>
    <row r="628" spans="1:4" x14ac:dyDescent="0.25">
      <c r="A628" s="17" t="s">
        <v>77</v>
      </c>
      <c r="B628" s="17" t="s">
        <v>63</v>
      </c>
      <c r="C628" s="53">
        <v>0.12782876099689036</v>
      </c>
      <c r="D628" s="22">
        <v>6.9444444444444447E-4</v>
      </c>
    </row>
    <row r="629" spans="1:4" x14ac:dyDescent="0.25">
      <c r="A629" s="17" t="s">
        <v>77</v>
      </c>
      <c r="B629" s="17" t="s">
        <v>64</v>
      </c>
      <c r="C629" s="51">
        <v>5.685000314863857E-2</v>
      </c>
      <c r="D629" s="19">
        <v>6.9444444444444447E-4</v>
      </c>
    </row>
    <row r="630" spans="1:4" x14ac:dyDescent="0.25">
      <c r="A630" s="17" t="s">
        <v>77</v>
      </c>
      <c r="B630" s="17" t="s">
        <v>65</v>
      </c>
      <c r="C630" s="53">
        <v>9.8411867678650483E-2</v>
      </c>
      <c r="D630" s="22">
        <v>6.9444444444444447E-4</v>
      </c>
    </row>
    <row r="631" spans="1:4" x14ac:dyDescent="0.25">
      <c r="A631" s="17" t="s">
        <v>77</v>
      </c>
      <c r="B631" s="17" t="s">
        <v>66</v>
      </c>
      <c r="C631" s="51">
        <v>6.0268416737130015E-2</v>
      </c>
      <c r="D631" s="19">
        <v>6.9444444444444447E-4</v>
      </c>
    </row>
    <row r="632" spans="1:4" x14ac:dyDescent="0.25">
      <c r="A632" s="17" t="s">
        <v>77</v>
      </c>
      <c r="B632" s="17" t="s">
        <v>67</v>
      </c>
      <c r="C632" s="53">
        <v>0.11473424989949824</v>
      </c>
      <c r="D632" s="22">
        <v>6.9444444444444447E-4</v>
      </c>
    </row>
    <row r="633" spans="1:4" x14ac:dyDescent="0.25">
      <c r="A633" s="17" t="s">
        <v>77</v>
      </c>
      <c r="B633" s="17" t="s">
        <v>68</v>
      </c>
      <c r="C633" s="51">
        <v>5.6135944999619138E-2</v>
      </c>
      <c r="D633" s="19">
        <v>6.9444444444444447E-4</v>
      </c>
    </row>
    <row r="634" spans="1:4" x14ac:dyDescent="0.25">
      <c r="A634" s="17" t="s">
        <v>77</v>
      </c>
      <c r="B634" s="17" t="s">
        <v>69</v>
      </c>
      <c r="C634" s="53">
        <v>4.6069713011914037E-2</v>
      </c>
      <c r="D634" s="22">
        <v>6.9444444444444447E-4</v>
      </c>
    </row>
    <row r="635" spans="1:4" x14ac:dyDescent="0.25">
      <c r="A635" s="17" t="s">
        <v>77</v>
      </c>
      <c r="B635" s="17" t="s">
        <v>70</v>
      </c>
      <c r="C635" s="51">
        <v>6.0703158179782113E-2</v>
      </c>
      <c r="D635" s="19">
        <v>6.9444444444444447E-4</v>
      </c>
    </row>
    <row r="636" spans="1:4" x14ac:dyDescent="0.25">
      <c r="A636" s="17" t="s">
        <v>77</v>
      </c>
      <c r="B636" s="17" t="s">
        <v>71</v>
      </c>
      <c r="C636" s="53">
        <v>1.5021004127555746E-2</v>
      </c>
      <c r="D636" s="22">
        <v>6.9444444444444447E-4</v>
      </c>
    </row>
    <row r="637" spans="1:4" x14ac:dyDescent="0.25">
      <c r="A637" s="17" t="s">
        <v>77</v>
      </c>
      <c r="B637" s="17" t="s">
        <v>72</v>
      </c>
      <c r="C637" s="51">
        <v>6.6658734716461443E-2</v>
      </c>
      <c r="D637" s="19">
        <v>6.9444444444444447E-4</v>
      </c>
    </row>
    <row r="638" spans="1:4" x14ac:dyDescent="0.25">
      <c r="A638" s="17" t="s">
        <v>77</v>
      </c>
      <c r="B638" s="17" t="s">
        <v>73</v>
      </c>
      <c r="C638" s="53">
        <v>1.9557561453313239E-2</v>
      </c>
      <c r="D638" s="22">
        <v>6.9444444444444447E-4</v>
      </c>
    </row>
    <row r="639" spans="1:4" x14ac:dyDescent="0.25">
      <c r="A639" s="17" t="s">
        <v>77</v>
      </c>
      <c r="B639" s="17" t="s">
        <v>74</v>
      </c>
      <c r="C639" s="51">
        <v>3.068810735447982E-2</v>
      </c>
      <c r="D639" s="19">
        <v>6.9444444444444447E-4</v>
      </c>
    </row>
    <row r="640" spans="1:4" x14ac:dyDescent="0.25">
      <c r="A640" s="17" t="s">
        <v>77</v>
      </c>
      <c r="B640" s="17" t="s">
        <v>75</v>
      </c>
      <c r="C640" s="53">
        <v>0.10743275186366566</v>
      </c>
      <c r="D640" s="22">
        <v>6.9444444444444447E-4</v>
      </c>
    </row>
    <row r="641" spans="1:4" x14ac:dyDescent="0.25">
      <c r="A641" s="17" t="s">
        <v>77</v>
      </c>
      <c r="B641" s="17" t="s">
        <v>76</v>
      </c>
      <c r="C641" s="51">
        <v>0.10141266327238958</v>
      </c>
      <c r="D641" s="19">
        <v>6.9444444444444447E-4</v>
      </c>
    </row>
    <row r="642" spans="1:4" x14ac:dyDescent="0.25">
      <c r="A642" s="17" t="s">
        <v>77</v>
      </c>
      <c r="B642" s="17" t="s">
        <v>77</v>
      </c>
      <c r="C642" s="53">
        <v>0</v>
      </c>
      <c r="D642" s="22">
        <v>0</v>
      </c>
    </row>
    <row r="643" spans="1:4" x14ac:dyDescent="0.25">
      <c r="A643" s="17" t="s">
        <v>77</v>
      </c>
      <c r="B643" s="17" t="s">
        <v>78</v>
      </c>
      <c r="C643" s="51">
        <v>2.5835495737457186E-2</v>
      </c>
      <c r="D643" s="19">
        <v>6.9444444444444447E-4</v>
      </c>
    </row>
    <row r="644" spans="1:4" x14ac:dyDescent="0.25">
      <c r="A644" s="17" t="s">
        <v>77</v>
      </c>
      <c r="B644" s="17" t="s">
        <v>79</v>
      </c>
      <c r="C644" s="53">
        <v>7.4233105909691538E-2</v>
      </c>
      <c r="D644" s="22">
        <v>6.9444444444444447E-4</v>
      </c>
    </row>
    <row r="645" spans="1:4" x14ac:dyDescent="0.25">
      <c r="A645" s="17" t="s">
        <v>77</v>
      </c>
      <c r="B645" s="17" t="s">
        <v>80</v>
      </c>
      <c r="C645" s="51">
        <v>7.7297923710793776E-2</v>
      </c>
      <c r="D645" s="19">
        <v>6.9444444444444447E-4</v>
      </c>
    </row>
    <row r="646" spans="1:4" x14ac:dyDescent="0.25">
      <c r="A646" s="17" t="s">
        <v>77</v>
      </c>
      <c r="B646" s="17" t="s">
        <v>81</v>
      </c>
      <c r="C646" s="53">
        <v>0.14638133545640228</v>
      </c>
      <c r="D646" s="22">
        <v>6.9444444444444447E-4</v>
      </c>
    </row>
    <row r="647" spans="1:4" x14ac:dyDescent="0.25">
      <c r="A647" s="17" t="s">
        <v>77</v>
      </c>
      <c r="B647" s="17" t="s">
        <v>82</v>
      </c>
      <c r="C647" s="51">
        <v>6.9558104660780773E-2</v>
      </c>
      <c r="D647" s="19">
        <v>6.9444444444444447E-4</v>
      </c>
    </row>
    <row r="648" spans="1:4" x14ac:dyDescent="0.25">
      <c r="A648" s="17" t="s">
        <v>77</v>
      </c>
      <c r="B648" s="17" t="s">
        <v>83</v>
      </c>
      <c r="C648" s="53">
        <v>9.6081963786138092E-2</v>
      </c>
      <c r="D648" s="22">
        <v>6.9444444444444447E-4</v>
      </c>
    </row>
    <row r="649" spans="1:4" x14ac:dyDescent="0.25">
      <c r="A649" s="17" t="s">
        <v>77</v>
      </c>
      <c r="B649" s="17" t="s">
        <v>84</v>
      </c>
      <c r="C649" s="51">
        <v>3.0265943715670787E-2</v>
      </c>
      <c r="D649" s="19">
        <v>6.9444444444444447E-4</v>
      </c>
    </row>
    <row r="650" spans="1:4" x14ac:dyDescent="0.25">
      <c r="A650" s="17" t="s">
        <v>77</v>
      </c>
      <c r="B650" s="17" t="s">
        <v>85</v>
      </c>
      <c r="C650" s="53">
        <v>8.0908229025231204E-2</v>
      </c>
      <c r="D650" s="22">
        <v>6.9444444444444447E-4</v>
      </c>
    </row>
    <row r="651" spans="1:4" x14ac:dyDescent="0.25">
      <c r="A651" s="17" t="s">
        <v>77</v>
      </c>
      <c r="B651" s="17" t="s">
        <v>86</v>
      </c>
      <c r="C651" s="51">
        <v>7.6549829686290205E-2</v>
      </c>
      <c r="D651" s="19">
        <v>6.9444444444444447E-4</v>
      </c>
    </row>
    <row r="652" spans="1:4" x14ac:dyDescent="0.25">
      <c r="A652" s="17" t="s">
        <v>77</v>
      </c>
      <c r="B652" s="17" t="s">
        <v>87</v>
      </c>
      <c r="C652" s="53">
        <v>6.6822344795732333E-2</v>
      </c>
      <c r="D652" s="22">
        <v>6.9444444444444447E-4</v>
      </c>
    </row>
    <row r="653" spans="1:4" x14ac:dyDescent="0.25">
      <c r="A653" s="17" t="s">
        <v>78</v>
      </c>
      <c r="B653" s="17" t="s">
        <v>55</v>
      </c>
      <c r="C653" s="51">
        <v>0.14720584625958208</v>
      </c>
      <c r="D653" s="19">
        <v>6.9444444444444447E-4</v>
      </c>
    </row>
    <row r="654" spans="1:4" x14ac:dyDescent="0.25">
      <c r="A654" s="17" t="s">
        <v>78</v>
      </c>
      <c r="B654" s="17" t="s">
        <v>57</v>
      </c>
      <c r="C654" s="53">
        <v>8.6352892204031834E-2</v>
      </c>
      <c r="D654" s="22">
        <v>6.9444444444444447E-4</v>
      </c>
    </row>
    <row r="655" spans="1:4" x14ac:dyDescent="0.25">
      <c r="A655" s="17" t="s">
        <v>78</v>
      </c>
      <c r="B655" s="17" t="s">
        <v>59</v>
      </c>
      <c r="C655" s="51">
        <v>0.12787975912160635</v>
      </c>
      <c r="D655" s="19">
        <v>6.9444444444444447E-4</v>
      </c>
    </row>
    <row r="656" spans="1:4" x14ac:dyDescent="0.25">
      <c r="A656" s="17" t="s">
        <v>78</v>
      </c>
      <c r="B656" s="17" t="s">
        <v>60</v>
      </c>
      <c r="C656" s="53">
        <v>0.13062232143925553</v>
      </c>
      <c r="D656" s="22">
        <v>6.9444444444444447E-4</v>
      </c>
    </row>
    <row r="657" spans="1:4" x14ac:dyDescent="0.25">
      <c r="A657" s="17" t="s">
        <v>78</v>
      </c>
      <c r="B657" s="17" t="s">
        <v>61</v>
      </c>
      <c r="C657" s="51">
        <v>8.3944428790722544E-2</v>
      </c>
      <c r="D657" s="19">
        <v>6.9444444444444447E-4</v>
      </c>
    </row>
    <row r="658" spans="1:4" x14ac:dyDescent="0.25">
      <c r="A658" s="17" t="s">
        <v>78</v>
      </c>
      <c r="B658" s="17" t="s">
        <v>62</v>
      </c>
      <c r="C658" s="53">
        <v>0.10433260324558326</v>
      </c>
      <c r="D658" s="22">
        <v>6.9444444444444447E-4</v>
      </c>
    </row>
    <row r="659" spans="1:4" x14ac:dyDescent="0.25">
      <c r="A659" s="17" t="s">
        <v>78</v>
      </c>
      <c r="B659" s="17" t="s">
        <v>63</v>
      </c>
      <c r="C659" s="51">
        <v>0.12016655212662182</v>
      </c>
      <c r="D659" s="19">
        <v>6.9444444444444447E-4</v>
      </c>
    </row>
    <row r="660" spans="1:4" x14ac:dyDescent="0.25">
      <c r="A660" s="17" t="s">
        <v>78</v>
      </c>
      <c r="B660" s="17" t="s">
        <v>64</v>
      </c>
      <c r="C660" s="53">
        <v>6.6869890638466711E-2</v>
      </c>
      <c r="D660" s="22">
        <v>6.9444444444444447E-4</v>
      </c>
    </row>
    <row r="661" spans="1:4" x14ac:dyDescent="0.25">
      <c r="A661" s="17" t="s">
        <v>78</v>
      </c>
      <c r="B661" s="17" t="s">
        <v>65</v>
      </c>
      <c r="C661" s="51">
        <v>0.10014609977428195</v>
      </c>
      <c r="D661" s="19">
        <v>6.9444444444444447E-4</v>
      </c>
    </row>
    <row r="662" spans="1:4" x14ac:dyDescent="0.25">
      <c r="A662" s="17" t="s">
        <v>78</v>
      </c>
      <c r="B662" s="17" t="s">
        <v>66</v>
      </c>
      <c r="C662" s="53">
        <v>6.3415597072018132E-2</v>
      </c>
      <c r="D662" s="22">
        <v>6.9444444444444447E-4</v>
      </c>
    </row>
    <row r="663" spans="1:4" x14ac:dyDescent="0.25">
      <c r="A663" s="17" t="s">
        <v>78</v>
      </c>
      <c r="B663" s="17" t="s">
        <v>67</v>
      </c>
      <c r="C663" s="51">
        <v>0.12760987179682137</v>
      </c>
      <c r="D663" s="19">
        <v>6.9444444444444447E-4</v>
      </c>
    </row>
    <row r="664" spans="1:4" x14ac:dyDescent="0.25">
      <c r="A664" s="17" t="s">
        <v>78</v>
      </c>
      <c r="B664" s="17" t="s">
        <v>68</v>
      </c>
      <c r="C664" s="53">
        <v>4.5108086248478237E-2</v>
      </c>
      <c r="D664" s="22">
        <v>6.9444444444444447E-4</v>
      </c>
    </row>
    <row r="665" spans="1:4" x14ac:dyDescent="0.25">
      <c r="A665" s="17" t="s">
        <v>78</v>
      </c>
      <c r="B665" s="17" t="s">
        <v>69</v>
      </c>
      <c r="C665" s="51">
        <v>4.4351365041000977E-2</v>
      </c>
      <c r="D665" s="19">
        <v>6.9444444444444447E-4</v>
      </c>
    </row>
    <row r="666" spans="1:4" x14ac:dyDescent="0.25">
      <c r="A666" s="17" t="s">
        <v>78</v>
      </c>
      <c r="B666" s="17" t="s">
        <v>70</v>
      </c>
      <c r="C666" s="53">
        <v>8.1140506536500553E-2</v>
      </c>
      <c r="D666" s="22">
        <v>6.9444444444444447E-4</v>
      </c>
    </row>
    <row r="667" spans="1:4" x14ac:dyDescent="0.25">
      <c r="A667" s="17" t="s">
        <v>78</v>
      </c>
      <c r="B667" s="17" t="s">
        <v>71</v>
      </c>
      <c r="C667" s="51">
        <v>2.1666809294409579E-2</v>
      </c>
      <c r="D667" s="19">
        <v>6.9444444444444447E-4</v>
      </c>
    </row>
    <row r="668" spans="1:4" x14ac:dyDescent="0.25">
      <c r="A668" s="17" t="s">
        <v>78</v>
      </c>
      <c r="B668" s="17" t="s">
        <v>72</v>
      </c>
      <c r="C668" s="53">
        <v>7.7511603273313259E-2</v>
      </c>
      <c r="D668" s="22">
        <v>6.9444444444444447E-4</v>
      </c>
    </row>
    <row r="669" spans="1:4" x14ac:dyDescent="0.25">
      <c r="A669" s="17" t="s">
        <v>78</v>
      </c>
      <c r="B669" s="17" t="s">
        <v>73</v>
      </c>
      <c r="C669" s="51">
        <v>3.5518512834864388E-2</v>
      </c>
      <c r="D669" s="19">
        <v>6.9444444444444447E-4</v>
      </c>
    </row>
    <row r="670" spans="1:4" x14ac:dyDescent="0.25">
      <c r="A670" s="17" t="s">
        <v>78</v>
      </c>
      <c r="B670" s="17" t="s">
        <v>74</v>
      </c>
      <c r="C670" s="53">
        <v>3.9591481924778994E-2</v>
      </c>
      <c r="D670" s="22">
        <v>6.9444444444444447E-4</v>
      </c>
    </row>
    <row r="671" spans="1:4" x14ac:dyDescent="0.25">
      <c r="A671" s="17" t="s">
        <v>78</v>
      </c>
      <c r="B671" s="17" t="s">
        <v>75</v>
      </c>
      <c r="C671" s="51">
        <v>0.11809639476715683</v>
      </c>
      <c r="D671" s="19">
        <v>6.9444444444444447E-4</v>
      </c>
    </row>
    <row r="672" spans="1:4" x14ac:dyDescent="0.25">
      <c r="A672" s="17" t="s">
        <v>78</v>
      </c>
      <c r="B672" s="17" t="s">
        <v>76</v>
      </c>
      <c r="C672" s="53">
        <v>0.11317381693660024</v>
      </c>
      <c r="D672" s="22">
        <v>6.9444444444444447E-4</v>
      </c>
    </row>
    <row r="673" spans="1:4" x14ac:dyDescent="0.25">
      <c r="A673" s="17" t="s">
        <v>78</v>
      </c>
      <c r="B673" s="17" t="s">
        <v>77</v>
      </c>
      <c r="C673" s="51">
        <v>2.5835495737457186E-2</v>
      </c>
      <c r="D673" s="19">
        <v>6.9444444444444447E-4</v>
      </c>
    </row>
    <row r="674" spans="1:4" x14ac:dyDescent="0.25">
      <c r="A674" s="17" t="s">
        <v>78</v>
      </c>
      <c r="B674" s="17" t="s">
        <v>78</v>
      </c>
      <c r="C674" s="53">
        <v>0</v>
      </c>
      <c r="D674" s="22">
        <v>0</v>
      </c>
    </row>
    <row r="675" spans="1:4" x14ac:dyDescent="0.25">
      <c r="A675" s="17" t="s">
        <v>78</v>
      </c>
      <c r="B675" s="17" t="s">
        <v>79</v>
      </c>
      <c r="C675" s="51">
        <v>8.7776388174722358E-2</v>
      </c>
      <c r="D675" s="19">
        <v>6.9444444444444447E-4</v>
      </c>
    </row>
    <row r="676" spans="1:4" x14ac:dyDescent="0.25">
      <c r="A676" s="17" t="s">
        <v>78</v>
      </c>
      <c r="B676" s="17" t="s">
        <v>80</v>
      </c>
      <c r="C676" s="53">
        <v>9.3755542012191759E-2</v>
      </c>
      <c r="D676" s="22">
        <v>6.9444444444444447E-4</v>
      </c>
    </row>
    <row r="677" spans="1:4" x14ac:dyDescent="0.25">
      <c r="A677" s="17" t="s">
        <v>78</v>
      </c>
      <c r="B677" s="17" t="s">
        <v>81</v>
      </c>
      <c r="C677" s="51">
        <v>0.16213732271750594</v>
      </c>
      <c r="D677" s="19">
        <v>6.9444444444444447E-4</v>
      </c>
    </row>
    <row r="678" spans="1:4" x14ac:dyDescent="0.25">
      <c r="A678" s="17" t="s">
        <v>78</v>
      </c>
      <c r="B678" s="17" t="s">
        <v>82</v>
      </c>
      <c r="C678" s="53">
        <v>9.4670653805711394E-2</v>
      </c>
      <c r="D678" s="22">
        <v>6.9444444444444447E-4</v>
      </c>
    </row>
    <row r="679" spans="1:4" x14ac:dyDescent="0.25">
      <c r="A679" s="17" t="s">
        <v>78</v>
      </c>
      <c r="B679" s="17" t="s">
        <v>83</v>
      </c>
      <c r="C679" s="51">
        <v>0.11621325728591246</v>
      </c>
      <c r="D679" s="19">
        <v>6.9444444444444447E-4</v>
      </c>
    </row>
    <row r="680" spans="1:4" x14ac:dyDescent="0.25">
      <c r="A680" s="17" t="s">
        <v>78</v>
      </c>
      <c r="B680" s="17" t="s">
        <v>84</v>
      </c>
      <c r="C680" s="53">
        <v>5.4490258000862921E-2</v>
      </c>
      <c r="D680" s="22">
        <v>6.9444444444444447E-4</v>
      </c>
    </row>
    <row r="681" spans="1:4" x14ac:dyDescent="0.25">
      <c r="A681" s="17" t="s">
        <v>78</v>
      </c>
      <c r="B681" s="17" t="s">
        <v>85</v>
      </c>
      <c r="C681" s="51">
        <v>0.10674160810105744</v>
      </c>
      <c r="D681" s="19">
        <v>6.9444444444444447E-4</v>
      </c>
    </row>
    <row r="682" spans="1:4" x14ac:dyDescent="0.25">
      <c r="A682" s="17" t="s">
        <v>78</v>
      </c>
      <c r="B682" s="17" t="s">
        <v>86</v>
      </c>
      <c r="C682" s="53">
        <v>0.10215122505873687</v>
      </c>
      <c r="D682" s="22">
        <v>6.9444444444444447E-4</v>
      </c>
    </row>
    <row r="683" spans="1:4" x14ac:dyDescent="0.25">
      <c r="A683" s="17" t="s">
        <v>78</v>
      </c>
      <c r="B683" s="17" t="s">
        <v>87</v>
      </c>
      <c r="C683" s="51">
        <v>8.449534872405827E-2</v>
      </c>
      <c r="D683" s="19">
        <v>6.9444444444444447E-4</v>
      </c>
    </row>
    <row r="684" spans="1:4" x14ac:dyDescent="0.25">
      <c r="A684" s="17" t="s">
        <v>79</v>
      </c>
      <c r="B684" s="17" t="s">
        <v>55</v>
      </c>
      <c r="C684" s="53">
        <v>0.22950062400786117</v>
      </c>
      <c r="D684" s="22">
        <v>6.9444444444444447E-4</v>
      </c>
    </row>
    <row r="685" spans="1:4" x14ac:dyDescent="0.25">
      <c r="A685" s="17" t="s">
        <v>79</v>
      </c>
      <c r="B685" s="17" t="s">
        <v>57</v>
      </c>
      <c r="C685" s="51">
        <v>0.16161934316473553</v>
      </c>
      <c r="D685" s="19">
        <v>6.9444444444444447E-4</v>
      </c>
    </row>
    <row r="686" spans="1:4" x14ac:dyDescent="0.25">
      <c r="A686" s="17" t="s">
        <v>79</v>
      </c>
      <c r="B686" s="17" t="s">
        <v>59</v>
      </c>
      <c r="C686" s="53">
        <v>0.18982487489788702</v>
      </c>
      <c r="D686" s="22">
        <v>6.9444444444444447E-4</v>
      </c>
    </row>
    <row r="687" spans="1:4" x14ac:dyDescent="0.25">
      <c r="A687" s="17" t="s">
        <v>79</v>
      </c>
      <c r="B687" s="17" t="s">
        <v>60</v>
      </c>
      <c r="C687" s="51">
        <v>0.20069379913833504</v>
      </c>
      <c r="D687" s="19">
        <v>6.9444444444444447E-4</v>
      </c>
    </row>
    <row r="688" spans="1:4" x14ac:dyDescent="0.25">
      <c r="A688" s="17" t="s">
        <v>79</v>
      </c>
      <c r="B688" s="17" t="s">
        <v>61</v>
      </c>
      <c r="C688" s="53">
        <v>0.15440639502948011</v>
      </c>
      <c r="D688" s="22">
        <v>6.9444444444444447E-4</v>
      </c>
    </row>
    <row r="689" spans="1:4" x14ac:dyDescent="0.25">
      <c r="A689" s="17" t="s">
        <v>79</v>
      </c>
      <c r="B689" s="17" t="s">
        <v>62</v>
      </c>
      <c r="C689" s="51">
        <v>0.15637878766955327</v>
      </c>
      <c r="D689" s="19">
        <v>6.9444444444444447E-4</v>
      </c>
    </row>
    <row r="690" spans="1:4" x14ac:dyDescent="0.25">
      <c r="A690" s="17" t="s">
        <v>79</v>
      </c>
      <c r="B690" s="17" t="s">
        <v>63</v>
      </c>
      <c r="C690" s="53">
        <v>0.20205947856262221</v>
      </c>
      <c r="D690" s="22">
        <v>6.9444444444444447E-4</v>
      </c>
    </row>
    <row r="691" spans="1:4" x14ac:dyDescent="0.25">
      <c r="A691" s="17" t="s">
        <v>79</v>
      </c>
      <c r="B691" s="17" t="s">
        <v>64</v>
      </c>
      <c r="C691" s="51">
        <v>0.1252308166586798</v>
      </c>
      <c r="D691" s="19">
        <v>6.9444444444444447E-4</v>
      </c>
    </row>
    <row r="692" spans="1:4" x14ac:dyDescent="0.25">
      <c r="A692" s="17" t="s">
        <v>79</v>
      </c>
      <c r="B692" s="17" t="s">
        <v>65</v>
      </c>
      <c r="C692" s="53">
        <v>0.17012220693665897</v>
      </c>
      <c r="D692" s="22">
        <v>6.9444444444444447E-4</v>
      </c>
    </row>
    <row r="693" spans="1:4" x14ac:dyDescent="0.25">
      <c r="A693" s="17" t="s">
        <v>79</v>
      </c>
      <c r="B693" s="17" t="s">
        <v>66</v>
      </c>
      <c r="C693" s="51">
        <v>0.13280334252194115</v>
      </c>
      <c r="D693" s="19">
        <v>6.9444444444444447E-4</v>
      </c>
    </row>
    <row r="694" spans="1:4" x14ac:dyDescent="0.25">
      <c r="A694" s="17" t="s">
        <v>79</v>
      </c>
      <c r="B694" s="17" t="s">
        <v>67</v>
      </c>
      <c r="C694" s="53">
        <v>0.17348162492033598</v>
      </c>
      <c r="D694" s="22">
        <v>6.9444444444444447E-4</v>
      </c>
    </row>
    <row r="695" spans="1:4" x14ac:dyDescent="0.25">
      <c r="A695" s="17" t="s">
        <v>79</v>
      </c>
      <c r="B695" s="17" t="s">
        <v>68</v>
      </c>
      <c r="C695" s="51">
        <v>0.12934684231939944</v>
      </c>
      <c r="D695" s="19">
        <v>6.9444444444444447E-4</v>
      </c>
    </row>
    <row r="696" spans="1:4" x14ac:dyDescent="0.25">
      <c r="A696" s="17" t="s">
        <v>79</v>
      </c>
      <c r="B696" s="17" t="s">
        <v>69</v>
      </c>
      <c r="C696" s="53">
        <v>0.12025760313593277</v>
      </c>
      <c r="D696" s="22">
        <v>6.9444444444444447E-4</v>
      </c>
    </row>
    <row r="697" spans="1:4" x14ac:dyDescent="0.25">
      <c r="A697" s="17" t="s">
        <v>79</v>
      </c>
      <c r="B697" s="17" t="s">
        <v>70</v>
      </c>
      <c r="C697" s="51">
        <v>2.8865471588040675E-2</v>
      </c>
      <c r="D697" s="19">
        <v>6.9444444444444447E-4</v>
      </c>
    </row>
    <row r="698" spans="1:4" x14ac:dyDescent="0.25">
      <c r="A698" s="17" t="s">
        <v>79</v>
      </c>
      <c r="B698" s="17" t="s">
        <v>71</v>
      </c>
      <c r="C698" s="53">
        <v>8.907797116010073E-2</v>
      </c>
      <c r="D698" s="22">
        <v>6.9444444444444447E-4</v>
      </c>
    </row>
    <row r="699" spans="1:4" x14ac:dyDescent="0.25">
      <c r="A699" s="17" t="s">
        <v>79</v>
      </c>
      <c r="B699" s="17" t="s">
        <v>72</v>
      </c>
      <c r="C699" s="51">
        <v>1.2744277343185327E-2</v>
      </c>
      <c r="D699" s="19">
        <v>6.9444444444444447E-4</v>
      </c>
    </row>
    <row r="700" spans="1:4" x14ac:dyDescent="0.25">
      <c r="A700" s="17" t="s">
        <v>79</v>
      </c>
      <c r="B700" s="17" t="s">
        <v>73</v>
      </c>
      <c r="C700" s="53">
        <v>9.0861210475096918E-2</v>
      </c>
      <c r="D700" s="22">
        <v>6.9444444444444447E-4</v>
      </c>
    </row>
    <row r="701" spans="1:4" x14ac:dyDescent="0.25">
      <c r="A701" s="17" t="s">
        <v>79</v>
      </c>
      <c r="B701" s="17" t="s">
        <v>74</v>
      </c>
      <c r="C701" s="51">
        <v>0.10333595816558627</v>
      </c>
      <c r="D701" s="19">
        <v>6.9444444444444447E-4</v>
      </c>
    </row>
    <row r="702" spans="1:4" x14ac:dyDescent="0.25">
      <c r="A702" s="17" t="s">
        <v>79</v>
      </c>
      <c r="B702" s="17" t="s">
        <v>75</v>
      </c>
      <c r="C702" s="53">
        <v>3.4179267780339813E-2</v>
      </c>
      <c r="D702" s="22">
        <v>6.9444444444444447E-4</v>
      </c>
    </row>
    <row r="703" spans="1:4" x14ac:dyDescent="0.25">
      <c r="A703" s="17" t="s">
        <v>79</v>
      </c>
      <c r="B703" s="17" t="s">
        <v>76</v>
      </c>
      <c r="C703" s="51">
        <v>2.7486804925271613E-2</v>
      </c>
      <c r="D703" s="19">
        <v>6.9444444444444447E-4</v>
      </c>
    </row>
    <row r="704" spans="1:4" x14ac:dyDescent="0.25">
      <c r="A704" s="17" t="s">
        <v>79</v>
      </c>
      <c r="B704" s="17" t="s">
        <v>77</v>
      </c>
      <c r="C704" s="53">
        <v>7.4233105909691538E-2</v>
      </c>
      <c r="D704" s="22">
        <v>6.9444444444444447E-4</v>
      </c>
    </row>
    <row r="705" spans="1:4" x14ac:dyDescent="0.25">
      <c r="A705" s="17" t="s">
        <v>79</v>
      </c>
      <c r="B705" s="17" t="s">
        <v>78</v>
      </c>
      <c r="C705" s="51">
        <v>8.7776388174722358E-2</v>
      </c>
      <c r="D705" s="19">
        <v>6.9444444444444447E-4</v>
      </c>
    </row>
    <row r="706" spans="1:4" x14ac:dyDescent="0.25">
      <c r="A706" s="17" t="s">
        <v>79</v>
      </c>
      <c r="B706" s="17" t="s">
        <v>79</v>
      </c>
      <c r="C706" s="53">
        <v>0</v>
      </c>
      <c r="D706" s="22">
        <v>0</v>
      </c>
    </row>
    <row r="707" spans="1:4" x14ac:dyDescent="0.25">
      <c r="A707" s="17" t="s">
        <v>79</v>
      </c>
      <c r="B707" s="17" t="s">
        <v>80</v>
      </c>
      <c r="C707" s="51">
        <v>1.2369698662457232E-2</v>
      </c>
      <c r="D707" s="19">
        <v>6.9444444444444447E-4</v>
      </c>
    </row>
    <row r="708" spans="1:4" x14ac:dyDescent="0.25">
      <c r="A708" s="17" t="s">
        <v>79</v>
      </c>
      <c r="B708" s="17" t="s">
        <v>81</v>
      </c>
      <c r="C708" s="53">
        <v>0.19681073762627682</v>
      </c>
      <c r="D708" s="22">
        <v>6.9444444444444447E-4</v>
      </c>
    </row>
    <row r="709" spans="1:4" x14ac:dyDescent="0.25">
      <c r="A709" s="17" t="s">
        <v>79</v>
      </c>
      <c r="B709" s="17" t="s">
        <v>82</v>
      </c>
      <c r="C709" s="51">
        <v>9.4816711000748968E-2</v>
      </c>
      <c r="D709" s="19">
        <v>6.9444444444444447E-4</v>
      </c>
    </row>
    <row r="710" spans="1:4" x14ac:dyDescent="0.25">
      <c r="A710" s="17" t="s">
        <v>79</v>
      </c>
      <c r="B710" s="17" t="s">
        <v>83</v>
      </c>
      <c r="C710" s="53">
        <v>0.14004281061161417</v>
      </c>
      <c r="D710" s="22">
        <v>6.9444444444444447E-4</v>
      </c>
    </row>
    <row r="711" spans="1:4" x14ac:dyDescent="0.25">
      <c r="A711" s="17" t="s">
        <v>79</v>
      </c>
      <c r="B711" s="17" t="s">
        <v>84</v>
      </c>
      <c r="C711" s="51">
        <v>8.2175420656057305E-2</v>
      </c>
      <c r="D711" s="19">
        <v>6.9444444444444447E-4</v>
      </c>
    </row>
    <row r="712" spans="1:4" x14ac:dyDescent="0.25">
      <c r="A712" s="17" t="s">
        <v>79</v>
      </c>
      <c r="B712" s="17" t="s">
        <v>85</v>
      </c>
      <c r="C712" s="53">
        <v>8.6245070983792096E-2</v>
      </c>
      <c r="D712" s="22">
        <v>6.9444444444444447E-4</v>
      </c>
    </row>
    <row r="713" spans="1:4" x14ac:dyDescent="0.25">
      <c r="A713" s="17" t="s">
        <v>79</v>
      </c>
      <c r="B713" s="17" t="s">
        <v>86</v>
      </c>
      <c r="C713" s="51">
        <v>9.2298878389720049E-2</v>
      </c>
      <c r="D713" s="19">
        <v>6.9444444444444447E-4</v>
      </c>
    </row>
    <row r="714" spans="1:4" x14ac:dyDescent="0.25">
      <c r="A714" s="17" t="s">
        <v>79</v>
      </c>
      <c r="B714" s="17" t="s">
        <v>87</v>
      </c>
      <c r="C714" s="53">
        <v>0.12282904228641951</v>
      </c>
      <c r="D714" s="22">
        <v>6.9444444444444447E-4</v>
      </c>
    </row>
    <row r="715" spans="1:4" x14ac:dyDescent="0.25">
      <c r="A715" s="17" t="s">
        <v>80</v>
      </c>
      <c r="B715" s="17" t="s">
        <v>55</v>
      </c>
      <c r="C715" s="51">
        <v>0.23182318206123909</v>
      </c>
      <c r="D715" s="19">
        <v>6.9444444444444447E-4</v>
      </c>
    </row>
    <row r="716" spans="1:4" x14ac:dyDescent="0.25">
      <c r="A716" s="17" t="s">
        <v>80</v>
      </c>
      <c r="B716" s="17" t="s">
        <v>57</v>
      </c>
      <c r="C716" s="53">
        <v>0.16289970549390523</v>
      </c>
      <c r="D716" s="22">
        <v>6.9444444444444447E-4</v>
      </c>
    </row>
    <row r="717" spans="1:4" x14ac:dyDescent="0.25">
      <c r="A717" s="17" t="s">
        <v>80</v>
      </c>
      <c r="B717" s="17" t="s">
        <v>59</v>
      </c>
      <c r="C717" s="51">
        <v>0.1882200566916267</v>
      </c>
      <c r="D717" s="19">
        <v>6.9444444444444447E-4</v>
      </c>
    </row>
    <row r="718" spans="1:4" x14ac:dyDescent="0.25">
      <c r="A718" s="17" t="s">
        <v>80</v>
      </c>
      <c r="B718" s="17" t="s">
        <v>60</v>
      </c>
      <c r="C718" s="53">
        <v>0.20038080312789217</v>
      </c>
      <c r="D718" s="22">
        <v>6.9444444444444447E-4</v>
      </c>
    </row>
    <row r="719" spans="1:4" x14ac:dyDescent="0.25">
      <c r="A719" s="17" t="s">
        <v>80</v>
      </c>
      <c r="B719" s="17" t="s">
        <v>61</v>
      </c>
      <c r="C719" s="51">
        <v>0.15492099203465098</v>
      </c>
      <c r="D719" s="19">
        <v>6.9444444444444447E-4</v>
      </c>
    </row>
    <row r="720" spans="1:4" x14ac:dyDescent="0.25">
      <c r="A720" s="17" t="s">
        <v>80</v>
      </c>
      <c r="B720" s="17" t="s">
        <v>62</v>
      </c>
      <c r="C720" s="53">
        <v>0.15390322762697284</v>
      </c>
      <c r="D720" s="22">
        <v>6.9444444444444447E-4</v>
      </c>
    </row>
    <row r="721" spans="1:4" x14ac:dyDescent="0.25">
      <c r="A721" s="17" t="s">
        <v>80</v>
      </c>
      <c r="B721" s="17" t="s">
        <v>63</v>
      </c>
      <c r="C721" s="51">
        <v>0.20444370011325738</v>
      </c>
      <c r="D721" s="19">
        <v>6.9444444444444447E-4</v>
      </c>
    </row>
    <row r="722" spans="1:4" x14ac:dyDescent="0.25">
      <c r="A722" s="17" t="s">
        <v>80</v>
      </c>
      <c r="B722" s="17" t="s">
        <v>64</v>
      </c>
      <c r="C722" s="53">
        <v>0.1247176078346611</v>
      </c>
      <c r="D722" s="22">
        <v>6.9444444444444447E-4</v>
      </c>
    </row>
    <row r="723" spans="1:4" x14ac:dyDescent="0.25">
      <c r="A723" s="17" t="s">
        <v>80</v>
      </c>
      <c r="B723" s="17" t="s">
        <v>65</v>
      </c>
      <c r="C723" s="51">
        <v>0.17023861973712093</v>
      </c>
      <c r="D723" s="19">
        <v>6.9444444444444447E-4</v>
      </c>
    </row>
    <row r="724" spans="1:4" x14ac:dyDescent="0.25">
      <c r="A724" s="17" t="s">
        <v>80</v>
      </c>
      <c r="B724" s="17" t="s">
        <v>66</v>
      </c>
      <c r="C724" s="53">
        <v>0.13371260904641896</v>
      </c>
      <c r="D724" s="22">
        <v>6.9444444444444447E-4</v>
      </c>
    </row>
    <row r="725" spans="1:4" x14ac:dyDescent="0.25">
      <c r="A725" s="17" t="s">
        <v>80</v>
      </c>
      <c r="B725" s="17" t="s">
        <v>67</v>
      </c>
      <c r="C725" s="51">
        <v>0.16972806957601538</v>
      </c>
      <c r="D725" s="19">
        <v>6.9444444444444447E-4</v>
      </c>
    </row>
    <row r="726" spans="1:4" x14ac:dyDescent="0.25">
      <c r="A726" s="17" t="s">
        <v>80</v>
      </c>
      <c r="B726" s="17" t="s">
        <v>68</v>
      </c>
      <c r="C726" s="53">
        <v>0.13328804623446189</v>
      </c>
      <c r="D726" s="22">
        <v>6.9444444444444447E-4</v>
      </c>
    </row>
    <row r="727" spans="1:4" x14ac:dyDescent="0.25">
      <c r="A727" s="17" t="s">
        <v>80</v>
      </c>
      <c r="B727" s="17" t="s">
        <v>69</v>
      </c>
      <c r="C727" s="51">
        <v>0.12270264395276886</v>
      </c>
      <c r="D727" s="19">
        <v>6.9444444444444447E-4</v>
      </c>
    </row>
    <row r="728" spans="1:4" x14ac:dyDescent="0.25">
      <c r="A728" s="17" t="s">
        <v>80</v>
      </c>
      <c r="B728" s="17" t="s">
        <v>70</v>
      </c>
      <c r="C728" s="53">
        <v>2.257016670297441E-2</v>
      </c>
      <c r="D728" s="22">
        <v>6.9444444444444447E-4</v>
      </c>
    </row>
    <row r="729" spans="1:4" x14ac:dyDescent="0.25">
      <c r="A729" s="17" t="s">
        <v>80</v>
      </c>
      <c r="B729" s="17" t="s">
        <v>71</v>
      </c>
      <c r="C729" s="51">
        <v>9.2318340176803043E-2</v>
      </c>
      <c r="D729" s="19">
        <v>6.9444444444444447E-4</v>
      </c>
    </row>
    <row r="730" spans="1:4" x14ac:dyDescent="0.25">
      <c r="A730" s="17" t="s">
        <v>80</v>
      </c>
      <c r="B730" s="17" t="s">
        <v>72</v>
      </c>
      <c r="C730" s="53">
        <v>2.4214338314314451E-2</v>
      </c>
      <c r="D730" s="22">
        <v>6.9444444444444447E-4</v>
      </c>
    </row>
    <row r="731" spans="1:4" x14ac:dyDescent="0.25">
      <c r="A731" s="17" t="s">
        <v>80</v>
      </c>
      <c r="B731" s="17" t="s">
        <v>73</v>
      </c>
      <c r="C731" s="51">
        <v>9.2248362695497729E-2</v>
      </c>
      <c r="D731" s="19">
        <v>6.9444444444444447E-4</v>
      </c>
    </row>
    <row r="732" spans="1:4" x14ac:dyDescent="0.25">
      <c r="A732" s="17" t="s">
        <v>80</v>
      </c>
      <c r="B732" s="17" t="s">
        <v>74</v>
      </c>
      <c r="C732" s="53">
        <v>0.10479750638731924</v>
      </c>
      <c r="D732" s="22">
        <v>6.9444444444444447E-4</v>
      </c>
    </row>
    <row r="733" spans="1:4" x14ac:dyDescent="0.25">
      <c r="A733" s="17" t="s">
        <v>80</v>
      </c>
      <c r="B733" s="17" t="s">
        <v>75</v>
      </c>
      <c r="C733" s="51">
        <v>3.7707739218892061E-2</v>
      </c>
      <c r="D733" s="19">
        <v>6.9444444444444447E-4</v>
      </c>
    </row>
    <row r="734" spans="1:4" x14ac:dyDescent="0.25">
      <c r="A734" s="17" t="s">
        <v>80</v>
      </c>
      <c r="B734" s="17" t="s">
        <v>76</v>
      </c>
      <c r="C734" s="53">
        <v>3.0195173289779706E-2</v>
      </c>
      <c r="D734" s="22">
        <v>6.9444444444444447E-4</v>
      </c>
    </row>
    <row r="735" spans="1:4" x14ac:dyDescent="0.25">
      <c r="A735" s="17" t="s">
        <v>80</v>
      </c>
      <c r="B735" s="17" t="s">
        <v>77</v>
      </c>
      <c r="C735" s="51">
        <v>7.7297923710793776E-2</v>
      </c>
      <c r="D735" s="19">
        <v>6.9444444444444447E-4</v>
      </c>
    </row>
    <row r="736" spans="1:4" x14ac:dyDescent="0.25">
      <c r="A736" s="17" t="s">
        <v>80</v>
      </c>
      <c r="B736" s="17" t="s">
        <v>78</v>
      </c>
      <c r="C736" s="53">
        <v>9.3755542012191759E-2</v>
      </c>
      <c r="D736" s="22">
        <v>6.9444444444444447E-4</v>
      </c>
    </row>
    <row r="737" spans="1:4" x14ac:dyDescent="0.25">
      <c r="A737" s="17" t="s">
        <v>80</v>
      </c>
      <c r="B737" s="17" t="s">
        <v>79</v>
      </c>
      <c r="C737" s="51">
        <v>1.2369698662457232E-2</v>
      </c>
      <c r="D737" s="19">
        <v>6.9444444444444447E-4</v>
      </c>
    </row>
    <row r="738" spans="1:4" x14ac:dyDescent="0.25">
      <c r="A738" s="17" t="s">
        <v>80</v>
      </c>
      <c r="B738" s="17" t="s">
        <v>80</v>
      </c>
      <c r="C738" s="53">
        <v>0</v>
      </c>
      <c r="D738" s="22">
        <v>0</v>
      </c>
    </row>
    <row r="739" spans="1:4" x14ac:dyDescent="0.25">
      <c r="A739" s="17" t="s">
        <v>80</v>
      </c>
      <c r="B739" s="17" t="s">
        <v>81</v>
      </c>
      <c r="C739" s="51">
        <v>0.19114069294632116</v>
      </c>
      <c r="D739" s="19">
        <v>6.9444444444444447E-4</v>
      </c>
    </row>
    <row r="740" spans="1:4" x14ac:dyDescent="0.25">
      <c r="A740" s="17" t="s">
        <v>80</v>
      </c>
      <c r="B740" s="17" t="s">
        <v>82</v>
      </c>
      <c r="C740" s="53">
        <v>8.7949243601066693E-2</v>
      </c>
      <c r="D740" s="22">
        <v>6.9444444444444447E-4</v>
      </c>
    </row>
    <row r="741" spans="1:4" x14ac:dyDescent="0.25">
      <c r="A741" s="17" t="s">
        <v>80</v>
      </c>
      <c r="B741" s="17" t="s">
        <v>83</v>
      </c>
      <c r="C741" s="51">
        <v>0.13420930245329779</v>
      </c>
      <c r="D741" s="19">
        <v>6.9444444444444447E-4</v>
      </c>
    </row>
    <row r="742" spans="1:4" x14ac:dyDescent="0.25">
      <c r="A742" s="17" t="s">
        <v>80</v>
      </c>
      <c r="B742" s="17" t="s">
        <v>84</v>
      </c>
      <c r="C742" s="53">
        <v>8.0563398171875605E-2</v>
      </c>
      <c r="D742" s="22">
        <v>6.9444444444444447E-4</v>
      </c>
    </row>
    <row r="743" spans="1:4" x14ac:dyDescent="0.25">
      <c r="A743" s="17" t="s">
        <v>80</v>
      </c>
      <c r="B743" s="17" t="s">
        <v>85</v>
      </c>
      <c r="C743" s="51">
        <v>7.7143561766356256E-2</v>
      </c>
      <c r="D743" s="19">
        <v>6.9444444444444447E-4</v>
      </c>
    </row>
    <row r="744" spans="1:4" x14ac:dyDescent="0.25">
      <c r="A744" s="17" t="s">
        <v>80</v>
      </c>
      <c r="B744" s="17" t="s">
        <v>86</v>
      </c>
      <c r="C744" s="53">
        <v>8.4239262016001376E-2</v>
      </c>
      <c r="D744" s="22">
        <v>6.9444444444444447E-4</v>
      </c>
    </row>
    <row r="745" spans="1:4" x14ac:dyDescent="0.25">
      <c r="A745" s="17" t="s">
        <v>80</v>
      </c>
      <c r="B745" s="17" t="s">
        <v>87</v>
      </c>
      <c r="C745" s="51">
        <v>0.11958035515083348</v>
      </c>
      <c r="D745" s="19">
        <v>6.9444444444444447E-4</v>
      </c>
    </row>
    <row r="746" spans="1:4" x14ac:dyDescent="0.25">
      <c r="A746" s="17" t="s">
        <v>81</v>
      </c>
      <c r="B746" s="17" t="s">
        <v>55</v>
      </c>
      <c r="C746" s="53">
        <v>0.14289001302050103</v>
      </c>
      <c r="D746" s="22">
        <v>6.9444444444444447E-4</v>
      </c>
    </row>
    <row r="747" spans="1:4" x14ac:dyDescent="0.25">
      <c r="A747" s="17" t="s">
        <v>81</v>
      </c>
      <c r="B747" s="17" t="s">
        <v>57</v>
      </c>
      <c r="C747" s="51">
        <v>0.10628487310054684</v>
      </c>
      <c r="D747" s="19">
        <v>6.9444444444444447E-4</v>
      </c>
    </row>
    <row r="748" spans="1:4" x14ac:dyDescent="0.25">
      <c r="A748" s="17" t="s">
        <v>81</v>
      </c>
      <c r="B748" s="17" t="s">
        <v>59</v>
      </c>
      <c r="C748" s="53">
        <v>6.611907078143224E-2</v>
      </c>
      <c r="D748" s="22">
        <v>6.9444444444444447E-4</v>
      </c>
    </row>
    <row r="749" spans="1:4" x14ac:dyDescent="0.25">
      <c r="A749" s="17" t="s">
        <v>81</v>
      </c>
      <c r="B749" s="17" t="s">
        <v>60</v>
      </c>
      <c r="C749" s="51">
        <v>8.8414314566022958E-2</v>
      </c>
      <c r="D749" s="19">
        <v>6.9444444444444447E-4</v>
      </c>
    </row>
    <row r="750" spans="1:4" x14ac:dyDescent="0.25">
      <c r="A750" s="17" t="s">
        <v>81</v>
      </c>
      <c r="B750" s="17" t="s">
        <v>61</v>
      </c>
      <c r="C750" s="53">
        <v>9.7015384517094627E-2</v>
      </c>
      <c r="D750" s="22">
        <v>6.9444444444444447E-4</v>
      </c>
    </row>
    <row r="751" spans="1:4" x14ac:dyDescent="0.25">
      <c r="A751" s="17" t="s">
        <v>81</v>
      </c>
      <c r="B751" s="17" t="s">
        <v>62</v>
      </c>
      <c r="C751" s="51">
        <v>6.1366241159126866E-2</v>
      </c>
      <c r="D751" s="19">
        <v>6.9444444444444447E-4</v>
      </c>
    </row>
    <row r="752" spans="1:4" x14ac:dyDescent="0.25">
      <c r="A752" s="17" t="s">
        <v>81</v>
      </c>
      <c r="B752" s="17" t="s">
        <v>63</v>
      </c>
      <c r="C752" s="53">
        <v>0.13091374234968689</v>
      </c>
      <c r="D752" s="22">
        <v>6.9444444444444447E-4</v>
      </c>
    </row>
    <row r="753" spans="1:4" x14ac:dyDescent="0.25">
      <c r="A753" s="17" t="s">
        <v>81</v>
      </c>
      <c r="B753" s="17" t="s">
        <v>64</v>
      </c>
      <c r="C753" s="51">
        <v>9.6312201947623091E-2</v>
      </c>
      <c r="D753" s="19">
        <v>6.9444444444444447E-4</v>
      </c>
    </row>
    <row r="754" spans="1:4" x14ac:dyDescent="0.25">
      <c r="A754" s="17" t="s">
        <v>81</v>
      </c>
      <c r="B754" s="17" t="s">
        <v>65</v>
      </c>
      <c r="C754" s="53">
        <v>9.0544457643746148E-2</v>
      </c>
      <c r="D754" s="22">
        <v>6.9444444444444447E-4</v>
      </c>
    </row>
    <row r="755" spans="1:4" x14ac:dyDescent="0.25">
      <c r="A755" s="17" t="s">
        <v>81</v>
      </c>
      <c r="B755" s="17" t="s">
        <v>66</v>
      </c>
      <c r="C755" s="51">
        <v>0.10634071119754508</v>
      </c>
      <c r="D755" s="19">
        <v>6.9444444444444447E-4</v>
      </c>
    </row>
    <row r="756" spans="1:4" x14ac:dyDescent="0.25">
      <c r="A756" s="17" t="s">
        <v>81</v>
      </c>
      <c r="B756" s="17" t="s">
        <v>67</v>
      </c>
      <c r="C756" s="53">
        <v>3.7902128726495773E-2</v>
      </c>
      <c r="D756" s="22">
        <v>6.9444444444444447E-4</v>
      </c>
    </row>
    <row r="757" spans="1:4" x14ac:dyDescent="0.25">
      <c r="A757" s="17" t="s">
        <v>81</v>
      </c>
      <c r="B757" s="17" t="s">
        <v>68</v>
      </c>
      <c r="C757" s="51">
        <v>0.13927797618073104</v>
      </c>
      <c r="D757" s="19">
        <v>6.9444444444444447E-4</v>
      </c>
    </row>
    <row r="758" spans="1:4" x14ac:dyDescent="0.25">
      <c r="A758" s="17" t="s">
        <v>81</v>
      </c>
      <c r="B758" s="17" t="s">
        <v>69</v>
      </c>
      <c r="C758" s="53">
        <v>0.12490801620792914</v>
      </c>
      <c r="D758" s="22">
        <v>6.9444444444444447E-4</v>
      </c>
    </row>
    <row r="759" spans="1:4" x14ac:dyDescent="0.25">
      <c r="A759" s="17" t="s">
        <v>81</v>
      </c>
      <c r="B759" s="17" t="s">
        <v>70</v>
      </c>
      <c r="C759" s="51">
        <v>0.16880931942579305</v>
      </c>
      <c r="D759" s="19">
        <v>6.9444444444444447E-4</v>
      </c>
    </row>
    <row r="760" spans="1:4" x14ac:dyDescent="0.25">
      <c r="A760" s="17" t="s">
        <v>81</v>
      </c>
      <c r="B760" s="17" t="s">
        <v>71</v>
      </c>
      <c r="C760" s="53">
        <v>0.14112923224122839</v>
      </c>
      <c r="D760" s="22">
        <v>6.9444444444444447E-4</v>
      </c>
    </row>
    <row r="761" spans="1:4" x14ac:dyDescent="0.25">
      <c r="A761" s="17" t="s">
        <v>81</v>
      </c>
      <c r="B761" s="17" t="s">
        <v>72</v>
      </c>
      <c r="C761" s="51">
        <v>0.19680681309344844</v>
      </c>
      <c r="D761" s="19">
        <v>6.9444444444444447E-4</v>
      </c>
    </row>
    <row r="762" spans="1:4" x14ac:dyDescent="0.25">
      <c r="A762" s="17" t="s">
        <v>81</v>
      </c>
      <c r="B762" s="17" t="s">
        <v>73</v>
      </c>
      <c r="C762" s="53">
        <v>0.12839709731921115</v>
      </c>
      <c r="D762" s="22">
        <v>6.9444444444444447E-4</v>
      </c>
    </row>
    <row r="763" spans="1:4" x14ac:dyDescent="0.25">
      <c r="A763" s="17" t="s">
        <v>81</v>
      </c>
      <c r="B763" s="17" t="s">
        <v>74</v>
      </c>
      <c r="C763" s="51">
        <v>0.12258046681670053</v>
      </c>
      <c r="D763" s="19">
        <v>6.9444444444444447E-4</v>
      </c>
    </row>
    <row r="764" spans="1:4" x14ac:dyDescent="0.25">
      <c r="A764" s="17" t="s">
        <v>81</v>
      </c>
      <c r="B764" s="17" t="s">
        <v>75</v>
      </c>
      <c r="C764" s="53">
        <v>0.22884824530024175</v>
      </c>
      <c r="D764" s="22">
        <v>6.9444444444444447E-4</v>
      </c>
    </row>
    <row r="765" spans="1:4" x14ac:dyDescent="0.25">
      <c r="A765" s="17" t="s">
        <v>81</v>
      </c>
      <c r="B765" s="17" t="s">
        <v>76</v>
      </c>
      <c r="C765" s="51">
        <v>0.22133021458896779</v>
      </c>
      <c r="D765" s="19">
        <v>6.9444444444444447E-4</v>
      </c>
    </row>
    <row r="766" spans="1:4" x14ac:dyDescent="0.25">
      <c r="A766" s="17" t="s">
        <v>81</v>
      </c>
      <c r="B766" s="17" t="s">
        <v>77</v>
      </c>
      <c r="C766" s="53">
        <v>0.14638133545640228</v>
      </c>
      <c r="D766" s="22">
        <v>6.9444444444444447E-4</v>
      </c>
    </row>
    <row r="767" spans="1:4" x14ac:dyDescent="0.25">
      <c r="A767" s="17" t="s">
        <v>81</v>
      </c>
      <c r="B767" s="17" t="s">
        <v>78</v>
      </c>
      <c r="C767" s="51">
        <v>0.16213732271750594</v>
      </c>
      <c r="D767" s="19">
        <v>6.9444444444444447E-4</v>
      </c>
    </row>
    <row r="768" spans="1:4" x14ac:dyDescent="0.25">
      <c r="A768" s="17" t="s">
        <v>81</v>
      </c>
      <c r="B768" s="17" t="s">
        <v>79</v>
      </c>
      <c r="C768" s="53">
        <v>0.19681073762627682</v>
      </c>
      <c r="D768" s="22">
        <v>6.9444444444444447E-4</v>
      </c>
    </row>
    <row r="769" spans="1:4" x14ac:dyDescent="0.25">
      <c r="A769" s="17" t="s">
        <v>81</v>
      </c>
      <c r="B769" s="17" t="s">
        <v>80</v>
      </c>
      <c r="C769" s="51">
        <v>0.19114069294632116</v>
      </c>
      <c r="D769" s="19">
        <v>6.9444444444444447E-4</v>
      </c>
    </row>
    <row r="770" spans="1:4" x14ac:dyDescent="0.25">
      <c r="A770" s="17" t="s">
        <v>81</v>
      </c>
      <c r="B770" s="17" t="s">
        <v>81</v>
      </c>
      <c r="C770" s="53">
        <v>0</v>
      </c>
      <c r="D770" s="22">
        <v>0</v>
      </c>
    </row>
    <row r="771" spans="1:4" x14ac:dyDescent="0.25">
      <c r="A771" s="17" t="s">
        <v>81</v>
      </c>
      <c r="B771" s="17" t="s">
        <v>82</v>
      </c>
      <c r="C771" s="51">
        <v>0.1037580534223744</v>
      </c>
      <c r="D771" s="19">
        <v>6.9444444444444447E-4</v>
      </c>
    </row>
    <row r="772" spans="1:4" x14ac:dyDescent="0.25">
      <c r="A772" s="17" t="s">
        <v>81</v>
      </c>
      <c r="B772" s="17" t="s">
        <v>83</v>
      </c>
      <c r="C772" s="53">
        <v>5.6933789132637476E-2</v>
      </c>
      <c r="D772" s="22">
        <v>6.9444444444444447E-4</v>
      </c>
    </row>
    <row r="773" spans="1:4" x14ac:dyDescent="0.25">
      <c r="A773" s="17" t="s">
        <v>81</v>
      </c>
      <c r="B773" s="17" t="s">
        <v>84</v>
      </c>
      <c r="C773" s="51">
        <v>0.1207152572171353</v>
      </c>
      <c r="D773" s="19">
        <v>6.9444444444444447E-4</v>
      </c>
    </row>
    <row r="774" spans="1:4" x14ac:dyDescent="0.25">
      <c r="A774" s="17" t="s">
        <v>81</v>
      </c>
      <c r="B774" s="17" t="s">
        <v>85</v>
      </c>
      <c r="C774" s="53">
        <v>0.12063347446708246</v>
      </c>
      <c r="D774" s="22">
        <v>6.9444444444444447E-4</v>
      </c>
    </row>
    <row r="775" spans="1:4" x14ac:dyDescent="0.25">
      <c r="A775" s="17" t="s">
        <v>81</v>
      </c>
      <c r="B775" s="17" t="s">
        <v>86</v>
      </c>
      <c r="C775" s="51">
        <v>0.11008705602839643</v>
      </c>
      <c r="D775" s="19">
        <v>6.9444444444444447E-4</v>
      </c>
    </row>
    <row r="776" spans="1:4" x14ac:dyDescent="0.25">
      <c r="A776" s="17" t="s">
        <v>81</v>
      </c>
      <c r="B776" s="17" t="s">
        <v>87</v>
      </c>
      <c r="C776" s="53">
        <v>7.9623992979504551E-2</v>
      </c>
      <c r="D776" s="22">
        <v>6.9444444444444447E-4</v>
      </c>
    </row>
    <row r="777" spans="1:4" x14ac:dyDescent="0.25">
      <c r="A777" s="17" t="s">
        <v>82</v>
      </c>
      <c r="B777" s="17" t="s">
        <v>55</v>
      </c>
      <c r="C777" s="51">
        <v>0.17759128152305254</v>
      </c>
      <c r="D777" s="19">
        <v>6.9444444444444447E-4</v>
      </c>
    </row>
    <row r="778" spans="1:4" x14ac:dyDescent="0.25">
      <c r="A778" s="17" t="s">
        <v>82</v>
      </c>
      <c r="B778" s="17" t="s">
        <v>57</v>
      </c>
      <c r="C778" s="53">
        <v>0.10890414363099879</v>
      </c>
      <c r="D778" s="22">
        <v>6.9444444444444447E-4</v>
      </c>
    </row>
    <row r="779" spans="1:4" x14ac:dyDescent="0.25">
      <c r="A779" s="17" t="s">
        <v>82</v>
      </c>
      <c r="B779" s="17" t="s">
        <v>59</v>
      </c>
      <c r="C779" s="51">
        <v>0.11453269643643443</v>
      </c>
      <c r="D779" s="19">
        <v>6.9444444444444447E-4</v>
      </c>
    </row>
    <row r="780" spans="1:4" x14ac:dyDescent="0.25">
      <c r="A780" s="17" t="s">
        <v>82</v>
      </c>
      <c r="B780" s="17" t="s">
        <v>60</v>
      </c>
      <c r="C780" s="53">
        <v>0.13265229407507573</v>
      </c>
      <c r="D780" s="22">
        <v>6.9444444444444447E-4</v>
      </c>
    </row>
    <row r="781" spans="1:4" x14ac:dyDescent="0.25">
      <c r="A781" s="17" t="s">
        <v>82</v>
      </c>
      <c r="B781" s="17" t="s">
        <v>61</v>
      </c>
      <c r="C781" s="51">
        <v>9.7171244084867686E-2</v>
      </c>
      <c r="D781" s="19">
        <v>6.9444444444444447E-4</v>
      </c>
    </row>
    <row r="782" spans="1:4" x14ac:dyDescent="0.25">
      <c r="A782" s="17" t="s">
        <v>82</v>
      </c>
      <c r="B782" s="17" t="s">
        <v>62</v>
      </c>
      <c r="C782" s="53">
        <v>7.8556700388958442E-2</v>
      </c>
      <c r="D782" s="22">
        <v>6.9444444444444447E-4</v>
      </c>
    </row>
    <row r="783" spans="1:4" x14ac:dyDescent="0.25">
      <c r="A783" s="17" t="s">
        <v>82</v>
      </c>
      <c r="B783" s="17" t="s">
        <v>63</v>
      </c>
      <c r="C783" s="51">
        <v>0.15277513814099844</v>
      </c>
      <c r="D783" s="19">
        <v>6.9444444444444447E-4</v>
      </c>
    </row>
    <row r="784" spans="1:4" x14ac:dyDescent="0.25">
      <c r="A784" s="17" t="s">
        <v>82</v>
      </c>
      <c r="B784" s="17" t="s">
        <v>64</v>
      </c>
      <c r="C784" s="53">
        <v>6.6814751140752277E-2</v>
      </c>
      <c r="D784" s="22">
        <v>6.9444444444444447E-4</v>
      </c>
    </row>
    <row r="785" spans="1:4" x14ac:dyDescent="0.25">
      <c r="A785" s="17" t="s">
        <v>82</v>
      </c>
      <c r="B785" s="17" t="s">
        <v>65</v>
      </c>
      <c r="C785" s="51">
        <v>0.10778761702533843</v>
      </c>
      <c r="D785" s="19">
        <v>6.9444444444444447E-4</v>
      </c>
    </row>
    <row r="786" spans="1:4" x14ac:dyDescent="0.25">
      <c r="A786" s="17" t="s">
        <v>82</v>
      </c>
      <c r="B786" s="17" t="s">
        <v>66</v>
      </c>
      <c r="C786" s="53">
        <v>8.3090779295905429E-2</v>
      </c>
      <c r="D786" s="22">
        <v>6.9444444444444447E-4</v>
      </c>
    </row>
    <row r="787" spans="1:4" x14ac:dyDescent="0.25">
      <c r="A787" s="17" t="s">
        <v>82</v>
      </c>
      <c r="B787" s="17" t="s">
        <v>67</v>
      </c>
      <c r="C787" s="51">
        <v>8.7585933893524703E-2</v>
      </c>
      <c r="D787" s="19">
        <v>6.9444444444444447E-4</v>
      </c>
    </row>
    <row r="788" spans="1:4" x14ac:dyDescent="0.25">
      <c r="A788" s="17" t="s">
        <v>82</v>
      </c>
      <c r="B788" s="17" t="s">
        <v>68</v>
      </c>
      <c r="C788" s="53">
        <v>0.10451162012427638</v>
      </c>
      <c r="D788" s="22">
        <v>6.9444444444444447E-4</v>
      </c>
    </row>
    <row r="789" spans="1:4" x14ac:dyDescent="0.25">
      <c r="A789" s="17" t="s">
        <v>82</v>
      </c>
      <c r="B789" s="17" t="s">
        <v>69</v>
      </c>
      <c r="C789" s="51">
        <v>8.6281233098518428E-2</v>
      </c>
      <c r="D789" s="19">
        <v>6.9444444444444447E-4</v>
      </c>
    </row>
    <row r="790" spans="1:4" x14ac:dyDescent="0.25">
      <c r="A790" s="17" t="s">
        <v>82</v>
      </c>
      <c r="B790" s="17" t="s">
        <v>70</v>
      </c>
      <c r="C790" s="53">
        <v>6.6108818057803082E-2</v>
      </c>
      <c r="D790" s="22">
        <v>6.9444444444444447E-4</v>
      </c>
    </row>
    <row r="791" spans="1:4" x14ac:dyDescent="0.25">
      <c r="A791" s="17" t="s">
        <v>82</v>
      </c>
      <c r="B791" s="17" t="s">
        <v>71</v>
      </c>
      <c r="C791" s="51">
        <v>7.5375513378018205E-2</v>
      </c>
      <c r="D791" s="19">
        <v>6.9444444444444447E-4</v>
      </c>
    </row>
    <row r="792" spans="1:4" x14ac:dyDescent="0.25">
      <c r="A792" s="17" t="s">
        <v>82</v>
      </c>
      <c r="B792" s="17" t="s">
        <v>72</v>
      </c>
      <c r="C792" s="53">
        <v>9.7007460795548534E-2</v>
      </c>
      <c r="D792" s="22">
        <v>6.9444444444444447E-4</v>
      </c>
    </row>
    <row r="793" spans="1:4" x14ac:dyDescent="0.25">
      <c r="A793" s="17" t="s">
        <v>82</v>
      </c>
      <c r="B793" s="17" t="s">
        <v>73</v>
      </c>
      <c r="C793" s="51">
        <v>6.280387569250831E-2</v>
      </c>
      <c r="D793" s="19">
        <v>6.9444444444444447E-4</v>
      </c>
    </row>
    <row r="794" spans="1:4" x14ac:dyDescent="0.25">
      <c r="A794" s="17" t="s">
        <v>82</v>
      </c>
      <c r="B794" s="17" t="s">
        <v>74</v>
      </c>
      <c r="C794" s="53">
        <v>6.8698077010938427E-2</v>
      </c>
      <c r="D794" s="22">
        <v>6.9444444444444447E-4</v>
      </c>
    </row>
    <row r="795" spans="1:4" x14ac:dyDescent="0.25">
      <c r="A795" s="17" t="s">
        <v>82</v>
      </c>
      <c r="B795" s="17" t="s">
        <v>75</v>
      </c>
      <c r="C795" s="51">
        <v>0.12557233870960396</v>
      </c>
      <c r="D795" s="19">
        <v>6.9444444444444447E-4</v>
      </c>
    </row>
    <row r="796" spans="1:4" x14ac:dyDescent="0.25">
      <c r="A796" s="17" t="s">
        <v>82</v>
      </c>
      <c r="B796" s="17" t="s">
        <v>76</v>
      </c>
      <c r="C796" s="53">
        <v>0.11802205497278465</v>
      </c>
      <c r="D796" s="22">
        <v>6.9444444444444447E-4</v>
      </c>
    </row>
    <row r="797" spans="1:4" x14ac:dyDescent="0.25">
      <c r="A797" s="17" t="s">
        <v>82</v>
      </c>
      <c r="B797" s="17" t="s">
        <v>77</v>
      </c>
      <c r="C797" s="51">
        <v>6.9558104660780773E-2</v>
      </c>
      <c r="D797" s="19">
        <v>6.9444444444444447E-4</v>
      </c>
    </row>
    <row r="798" spans="1:4" x14ac:dyDescent="0.25">
      <c r="A798" s="17" t="s">
        <v>82</v>
      </c>
      <c r="B798" s="17" t="s">
        <v>78</v>
      </c>
      <c r="C798" s="53">
        <v>9.4670653805711394E-2</v>
      </c>
      <c r="D798" s="22">
        <v>6.9444444444444447E-4</v>
      </c>
    </row>
    <row r="799" spans="1:4" x14ac:dyDescent="0.25">
      <c r="A799" s="17" t="s">
        <v>82</v>
      </c>
      <c r="B799" s="17" t="s">
        <v>79</v>
      </c>
      <c r="C799" s="51">
        <v>9.4816711000748968E-2</v>
      </c>
      <c r="D799" s="19">
        <v>6.9444444444444447E-4</v>
      </c>
    </row>
    <row r="800" spans="1:4" x14ac:dyDescent="0.25">
      <c r="A800" s="17" t="s">
        <v>82</v>
      </c>
      <c r="B800" s="17" t="s">
        <v>80</v>
      </c>
      <c r="C800" s="53">
        <v>8.7949243601066693E-2</v>
      </c>
      <c r="D800" s="22">
        <v>6.9444444444444447E-4</v>
      </c>
    </row>
    <row r="801" spans="1:4" x14ac:dyDescent="0.25">
      <c r="A801" s="17" t="s">
        <v>82</v>
      </c>
      <c r="B801" s="17" t="s">
        <v>81</v>
      </c>
      <c r="C801" s="51">
        <v>0.1037580534223744</v>
      </c>
      <c r="D801" s="19">
        <v>6.9444444444444447E-4</v>
      </c>
    </row>
    <row r="802" spans="1:4" x14ac:dyDescent="0.25">
      <c r="A802" s="17" t="s">
        <v>82</v>
      </c>
      <c r="B802" s="17" t="s">
        <v>82</v>
      </c>
      <c r="C802" s="53">
        <v>0</v>
      </c>
      <c r="D802" s="22">
        <v>0</v>
      </c>
    </row>
    <row r="803" spans="1:4" x14ac:dyDescent="0.25">
      <c r="A803" s="17" t="s">
        <v>82</v>
      </c>
      <c r="B803" s="17" t="s">
        <v>83</v>
      </c>
      <c r="C803" s="51">
        <v>4.7074658968498238E-2</v>
      </c>
      <c r="D803" s="19">
        <v>6.9444444444444447E-4</v>
      </c>
    </row>
    <row r="804" spans="1:4" x14ac:dyDescent="0.25">
      <c r="A804" s="17" t="s">
        <v>82</v>
      </c>
      <c r="B804" s="17" t="s">
        <v>84</v>
      </c>
      <c r="C804" s="53">
        <v>4.0394345210684586E-2</v>
      </c>
      <c r="D804" s="22">
        <v>6.9444444444444447E-4</v>
      </c>
    </row>
    <row r="805" spans="1:4" x14ac:dyDescent="0.25">
      <c r="A805" s="17" t="s">
        <v>82</v>
      </c>
      <c r="B805" s="17" t="s">
        <v>85</v>
      </c>
      <c r="C805" s="51">
        <v>2.2693305797080298E-2</v>
      </c>
      <c r="D805" s="19">
        <v>6.9444444444444447E-4</v>
      </c>
    </row>
    <row r="806" spans="1:4" x14ac:dyDescent="0.25">
      <c r="A806" s="17" t="s">
        <v>82</v>
      </c>
      <c r="B806" s="17" t="s">
        <v>86</v>
      </c>
      <c r="C806" s="53">
        <v>1.1295308804981698E-2</v>
      </c>
      <c r="D806" s="22">
        <v>6.9444444444444447E-4</v>
      </c>
    </row>
    <row r="807" spans="1:4" x14ac:dyDescent="0.25">
      <c r="A807" s="17" t="s">
        <v>82</v>
      </c>
      <c r="B807" s="17" t="s">
        <v>87</v>
      </c>
      <c r="C807" s="51">
        <v>4.5116672926981072E-2</v>
      </c>
      <c r="D807" s="19">
        <v>6.9444444444444447E-4</v>
      </c>
    </row>
    <row r="808" spans="1:4" x14ac:dyDescent="0.25">
      <c r="A808" s="17" t="s">
        <v>83</v>
      </c>
      <c r="B808" s="17" t="s">
        <v>55</v>
      </c>
      <c r="C808" s="53">
        <v>0.15108849075955372</v>
      </c>
      <c r="D808" s="22">
        <v>6.9444444444444447E-4</v>
      </c>
    </row>
    <row r="809" spans="1:4" x14ac:dyDescent="0.25">
      <c r="A809" s="17" t="s">
        <v>83</v>
      </c>
      <c r="B809" s="17" t="s">
        <v>57</v>
      </c>
      <c r="C809" s="51">
        <v>9.0963845108925925E-2</v>
      </c>
      <c r="D809" s="19">
        <v>6.9444444444444447E-4</v>
      </c>
    </row>
    <row r="810" spans="1:4" x14ac:dyDescent="0.25">
      <c r="A810" s="17" t="s">
        <v>83</v>
      </c>
      <c r="B810" s="17" t="s">
        <v>59</v>
      </c>
      <c r="C810" s="53">
        <v>7.770177044315088E-2</v>
      </c>
      <c r="D810" s="22">
        <v>6.9444444444444447E-4</v>
      </c>
    </row>
    <row r="811" spans="1:4" x14ac:dyDescent="0.25">
      <c r="A811" s="17" t="s">
        <v>83</v>
      </c>
      <c r="B811" s="17" t="s">
        <v>60</v>
      </c>
      <c r="C811" s="51">
        <v>9.9421209585178513E-2</v>
      </c>
      <c r="D811" s="19">
        <v>6.9444444444444447E-4</v>
      </c>
    </row>
    <row r="812" spans="1:4" x14ac:dyDescent="0.25">
      <c r="A812" s="17" t="s">
        <v>83</v>
      </c>
      <c r="B812" s="17" t="s">
        <v>61</v>
      </c>
      <c r="C812" s="53">
        <v>7.8645745174171E-2</v>
      </c>
      <c r="D812" s="22">
        <v>6.9444444444444447E-4</v>
      </c>
    </row>
    <row r="813" spans="1:4" x14ac:dyDescent="0.25">
      <c r="A813" s="17" t="s">
        <v>83</v>
      </c>
      <c r="B813" s="17" t="s">
        <v>62</v>
      </c>
      <c r="C813" s="51">
        <v>4.5788103531379826E-2</v>
      </c>
      <c r="D813" s="19">
        <v>6.9444444444444447E-4</v>
      </c>
    </row>
    <row r="814" spans="1:4" x14ac:dyDescent="0.25">
      <c r="A814" s="17" t="s">
        <v>83</v>
      </c>
      <c r="B814" s="17" t="s">
        <v>63</v>
      </c>
      <c r="C814" s="53">
        <v>0.13020731429916285</v>
      </c>
      <c r="D814" s="22">
        <v>6.9444444444444447E-4</v>
      </c>
    </row>
    <row r="815" spans="1:4" x14ac:dyDescent="0.25">
      <c r="A815" s="17" t="s">
        <v>83</v>
      </c>
      <c r="B815" s="17" t="s">
        <v>64</v>
      </c>
      <c r="C815" s="51">
        <v>5.9611930525697306E-2</v>
      </c>
      <c r="D815" s="19">
        <v>6.9444444444444447E-4</v>
      </c>
    </row>
    <row r="816" spans="1:4" x14ac:dyDescent="0.25">
      <c r="A816" s="17" t="s">
        <v>83</v>
      </c>
      <c r="B816" s="17" t="s">
        <v>65</v>
      </c>
      <c r="C816" s="53">
        <v>8.2574835664388418E-2</v>
      </c>
      <c r="D816" s="22">
        <v>6.9444444444444447E-4</v>
      </c>
    </row>
    <row r="817" spans="1:4" x14ac:dyDescent="0.25">
      <c r="A817" s="17" t="s">
        <v>83</v>
      </c>
      <c r="B817" s="17" t="s">
        <v>66</v>
      </c>
      <c r="C817" s="51">
        <v>7.5417635450872642E-2</v>
      </c>
      <c r="D817" s="19">
        <v>6.9444444444444447E-4</v>
      </c>
    </row>
    <row r="818" spans="1:4" x14ac:dyDescent="0.25">
      <c r="A818" s="17" t="s">
        <v>83</v>
      </c>
      <c r="B818" s="17" t="s">
        <v>67</v>
      </c>
      <c r="C818" s="53">
        <v>4.4432951747551033E-2</v>
      </c>
      <c r="D818" s="22">
        <v>6.9444444444444447E-4</v>
      </c>
    </row>
    <row r="819" spans="1:4" x14ac:dyDescent="0.25">
      <c r="A819" s="17" t="s">
        <v>83</v>
      </c>
      <c r="B819" s="17" t="s">
        <v>68</v>
      </c>
      <c r="C819" s="51">
        <v>0.10656701032684253</v>
      </c>
      <c r="D819" s="19">
        <v>6.9444444444444447E-4</v>
      </c>
    </row>
    <row r="820" spans="1:4" x14ac:dyDescent="0.25">
      <c r="A820" s="17" t="s">
        <v>83</v>
      </c>
      <c r="B820" s="17" t="s">
        <v>69</v>
      </c>
      <c r="C820" s="53">
        <v>8.8700068207421184E-2</v>
      </c>
      <c r="D820" s="22">
        <v>6.9444444444444447E-4</v>
      </c>
    </row>
    <row r="821" spans="1:4" x14ac:dyDescent="0.25">
      <c r="A821" s="17" t="s">
        <v>83</v>
      </c>
      <c r="B821" s="17" t="s">
        <v>70</v>
      </c>
      <c r="C821" s="51">
        <v>0.11190438594621925</v>
      </c>
      <c r="D821" s="19">
        <v>6.9444444444444447E-4</v>
      </c>
    </row>
    <row r="822" spans="1:4" x14ac:dyDescent="0.25">
      <c r="A822" s="17" t="s">
        <v>83</v>
      </c>
      <c r="B822" s="17" t="s">
        <v>71</v>
      </c>
      <c r="C822" s="53">
        <v>9.4549636667731335E-2</v>
      </c>
      <c r="D822" s="22">
        <v>6.9444444444444447E-4</v>
      </c>
    </row>
    <row r="823" spans="1:4" x14ac:dyDescent="0.25">
      <c r="A823" s="17" t="s">
        <v>83</v>
      </c>
      <c r="B823" s="17" t="s">
        <v>72</v>
      </c>
      <c r="C823" s="51">
        <v>0.14053856828999228</v>
      </c>
      <c r="D823" s="19">
        <v>6.9444444444444447E-4</v>
      </c>
    </row>
    <row r="824" spans="1:4" x14ac:dyDescent="0.25">
      <c r="A824" s="17" t="s">
        <v>83</v>
      </c>
      <c r="B824" s="17" t="s">
        <v>73</v>
      </c>
      <c r="C824" s="53">
        <v>8.0727469457429382E-2</v>
      </c>
      <c r="D824" s="22">
        <v>6.9444444444444447E-4</v>
      </c>
    </row>
    <row r="825" spans="1:4" x14ac:dyDescent="0.25">
      <c r="A825" s="17" t="s">
        <v>83</v>
      </c>
      <c r="B825" s="17" t="s">
        <v>74</v>
      </c>
      <c r="C825" s="51">
        <v>7.8960245149069172E-2</v>
      </c>
      <c r="D825" s="19">
        <v>6.9444444444444447E-4</v>
      </c>
    </row>
    <row r="826" spans="1:4" x14ac:dyDescent="0.25">
      <c r="A826" s="17" t="s">
        <v>83</v>
      </c>
      <c r="B826" s="17" t="s">
        <v>75</v>
      </c>
      <c r="C826" s="53">
        <v>0.17191704118556964</v>
      </c>
      <c r="D826" s="22">
        <v>6.9444444444444447E-4</v>
      </c>
    </row>
    <row r="827" spans="1:4" x14ac:dyDescent="0.25">
      <c r="A827" s="17" t="s">
        <v>83</v>
      </c>
      <c r="B827" s="17" t="s">
        <v>76</v>
      </c>
      <c r="C827" s="51">
        <v>0.16439732753606423</v>
      </c>
      <c r="D827" s="19">
        <v>6.9444444444444447E-4</v>
      </c>
    </row>
    <row r="828" spans="1:4" x14ac:dyDescent="0.25">
      <c r="A828" s="17" t="s">
        <v>83</v>
      </c>
      <c r="B828" s="17" t="s">
        <v>77</v>
      </c>
      <c r="C828" s="53">
        <v>9.6081963786138092E-2</v>
      </c>
      <c r="D828" s="22">
        <v>6.9444444444444447E-4</v>
      </c>
    </row>
    <row r="829" spans="1:4" x14ac:dyDescent="0.25">
      <c r="A829" s="17" t="s">
        <v>83</v>
      </c>
      <c r="B829" s="17" t="s">
        <v>78</v>
      </c>
      <c r="C829" s="51">
        <v>0.11621325728591246</v>
      </c>
      <c r="D829" s="19">
        <v>6.9444444444444447E-4</v>
      </c>
    </row>
    <row r="830" spans="1:4" x14ac:dyDescent="0.25">
      <c r="A830" s="17" t="s">
        <v>83</v>
      </c>
      <c r="B830" s="17" t="s">
        <v>79</v>
      </c>
      <c r="C830" s="53">
        <v>0.14004281061161417</v>
      </c>
      <c r="D830" s="22">
        <v>6.9444444444444447E-4</v>
      </c>
    </row>
    <row r="831" spans="1:4" x14ac:dyDescent="0.25">
      <c r="A831" s="17" t="s">
        <v>83</v>
      </c>
      <c r="B831" s="17" t="s">
        <v>80</v>
      </c>
      <c r="C831" s="51">
        <v>0.13420930245329779</v>
      </c>
      <c r="D831" s="19">
        <v>6.9444444444444447E-4</v>
      </c>
    </row>
    <row r="832" spans="1:4" x14ac:dyDescent="0.25">
      <c r="A832" s="17" t="s">
        <v>83</v>
      </c>
      <c r="B832" s="17" t="s">
        <v>81</v>
      </c>
      <c r="C832" s="53">
        <v>5.6933789132637476E-2</v>
      </c>
      <c r="D832" s="22">
        <v>6.9444444444444447E-4</v>
      </c>
    </row>
    <row r="833" spans="1:4" x14ac:dyDescent="0.25">
      <c r="A833" s="17" t="s">
        <v>83</v>
      </c>
      <c r="B833" s="17" t="s">
        <v>82</v>
      </c>
      <c r="C833" s="51">
        <v>4.7074658968498238E-2</v>
      </c>
      <c r="D833" s="19">
        <v>6.9444444444444447E-4</v>
      </c>
    </row>
    <row r="834" spans="1:4" x14ac:dyDescent="0.25">
      <c r="A834" s="17" t="s">
        <v>83</v>
      </c>
      <c r="B834" s="17" t="s">
        <v>83</v>
      </c>
      <c r="C834" s="53">
        <v>0</v>
      </c>
      <c r="D834" s="22">
        <v>0</v>
      </c>
    </row>
    <row r="835" spans="1:4" x14ac:dyDescent="0.25">
      <c r="A835" s="17" t="s">
        <v>83</v>
      </c>
      <c r="B835" s="17" t="s">
        <v>84</v>
      </c>
      <c r="C835" s="51">
        <v>6.7464203041317589E-2</v>
      </c>
      <c r="D835" s="19">
        <v>6.9444444444444447E-4</v>
      </c>
    </row>
    <row r="836" spans="1:4" x14ac:dyDescent="0.25">
      <c r="A836" s="17" t="s">
        <v>83</v>
      </c>
      <c r="B836" s="17" t="s">
        <v>85</v>
      </c>
      <c r="C836" s="53">
        <v>6.5789422348887266E-2</v>
      </c>
      <c r="D836" s="22">
        <v>6.9444444444444447E-4</v>
      </c>
    </row>
    <row r="837" spans="1:4" x14ac:dyDescent="0.25">
      <c r="A837" s="17" t="s">
        <v>83</v>
      </c>
      <c r="B837" s="17" t="s">
        <v>86</v>
      </c>
      <c r="C837" s="51">
        <v>5.4472695729143789E-2</v>
      </c>
      <c r="D837" s="19">
        <v>6.9444444444444447E-4</v>
      </c>
    </row>
    <row r="838" spans="1:4" x14ac:dyDescent="0.25">
      <c r="A838" s="17" t="s">
        <v>83</v>
      </c>
      <c r="B838" s="17" t="s">
        <v>87</v>
      </c>
      <c r="C838" s="53">
        <v>3.3078502701911476E-2</v>
      </c>
      <c r="D838" s="22">
        <v>6.9444444444444447E-4</v>
      </c>
    </row>
    <row r="839" spans="1:4" x14ac:dyDescent="0.25">
      <c r="A839" s="17" t="s">
        <v>84</v>
      </c>
      <c r="B839" s="17" t="s">
        <v>55</v>
      </c>
      <c r="C839" s="51">
        <v>0.15567005925353475</v>
      </c>
      <c r="D839" s="19">
        <v>6.9444444444444447E-4</v>
      </c>
    </row>
    <row r="840" spans="1:4" x14ac:dyDescent="0.25">
      <c r="A840" s="17" t="s">
        <v>84</v>
      </c>
      <c r="B840" s="17" t="s">
        <v>57</v>
      </c>
      <c r="C840" s="53">
        <v>8.5346225019039518E-2</v>
      </c>
      <c r="D840" s="22">
        <v>6.9444444444444447E-4</v>
      </c>
    </row>
    <row r="841" spans="1:4" x14ac:dyDescent="0.25">
      <c r="A841" s="17" t="s">
        <v>84</v>
      </c>
      <c r="B841" s="17" t="s">
        <v>59</v>
      </c>
      <c r="C841" s="51">
        <v>0.10778499607087824</v>
      </c>
      <c r="D841" s="19">
        <v>6.9444444444444447E-4</v>
      </c>
    </row>
    <row r="842" spans="1:4" x14ac:dyDescent="0.25">
      <c r="A842" s="17" t="s">
        <v>84</v>
      </c>
      <c r="B842" s="17" t="s">
        <v>60</v>
      </c>
      <c r="C842" s="53">
        <v>0.12006303716539607</v>
      </c>
      <c r="D842" s="22">
        <v>6.9444444444444447E-4</v>
      </c>
    </row>
    <row r="843" spans="1:4" x14ac:dyDescent="0.25">
      <c r="A843" s="17" t="s">
        <v>84</v>
      </c>
      <c r="B843" s="17" t="s">
        <v>61</v>
      </c>
      <c r="C843" s="51">
        <v>7.5901193679679221E-2</v>
      </c>
      <c r="D843" s="19">
        <v>6.9444444444444447E-4</v>
      </c>
    </row>
    <row r="844" spans="1:4" x14ac:dyDescent="0.25">
      <c r="A844" s="17" t="s">
        <v>84</v>
      </c>
      <c r="B844" s="17" t="s">
        <v>62</v>
      </c>
      <c r="C844" s="53">
        <v>7.4307255372538267E-2</v>
      </c>
      <c r="D844" s="22">
        <v>6.9444444444444447E-4</v>
      </c>
    </row>
    <row r="845" spans="1:4" x14ac:dyDescent="0.25">
      <c r="A845" s="17" t="s">
        <v>84</v>
      </c>
      <c r="B845" s="17" t="s">
        <v>63</v>
      </c>
      <c r="C845" s="51">
        <v>0.12890567136088293</v>
      </c>
      <c r="D845" s="19">
        <v>6.9444444444444447E-4</v>
      </c>
    </row>
    <row r="846" spans="1:4" x14ac:dyDescent="0.25">
      <c r="A846" s="17" t="s">
        <v>84</v>
      </c>
      <c r="B846" s="17" t="s">
        <v>64</v>
      </c>
      <c r="C846" s="53">
        <v>4.4601920866707938E-2</v>
      </c>
      <c r="D846" s="22">
        <v>6.9444444444444447E-4</v>
      </c>
    </row>
    <row r="847" spans="1:4" x14ac:dyDescent="0.25">
      <c r="A847" s="17" t="s">
        <v>84</v>
      </c>
      <c r="B847" s="17" t="s">
        <v>65</v>
      </c>
      <c r="C847" s="51">
        <v>9.0445720235951405E-2</v>
      </c>
      <c r="D847" s="19">
        <v>6.9444444444444447E-4</v>
      </c>
    </row>
    <row r="848" spans="1:4" x14ac:dyDescent="0.25">
      <c r="A848" s="17" t="s">
        <v>84</v>
      </c>
      <c r="B848" s="17" t="s">
        <v>66</v>
      </c>
      <c r="C848" s="53">
        <v>5.6148935243691377E-2</v>
      </c>
      <c r="D848" s="22">
        <v>6.9444444444444447E-4</v>
      </c>
    </row>
    <row r="849" spans="1:4" x14ac:dyDescent="0.25">
      <c r="A849" s="17" t="s">
        <v>84</v>
      </c>
      <c r="B849" s="17" t="s">
        <v>67</v>
      </c>
      <c r="C849" s="51">
        <v>9.2751671904068397E-2</v>
      </c>
      <c r="D849" s="19">
        <v>6.9444444444444447E-4</v>
      </c>
    </row>
    <row r="850" spans="1:4" x14ac:dyDescent="0.25">
      <c r="A850" s="17" t="s">
        <v>84</v>
      </c>
      <c r="B850" s="17" t="s">
        <v>68</v>
      </c>
      <c r="C850" s="53">
        <v>6.8388714463721592E-2</v>
      </c>
      <c r="D850" s="22">
        <v>6.9444444444444447E-4</v>
      </c>
    </row>
    <row r="851" spans="1:4" x14ac:dyDescent="0.25">
      <c r="A851" s="17" t="s">
        <v>84</v>
      </c>
      <c r="B851" s="17" t="s">
        <v>69</v>
      </c>
      <c r="C851" s="51">
        <v>5.1764075960073541E-2</v>
      </c>
      <c r="D851" s="19">
        <v>6.9444444444444447E-4</v>
      </c>
    </row>
    <row r="852" spans="1:4" x14ac:dyDescent="0.25">
      <c r="A852" s="17" t="s">
        <v>84</v>
      </c>
      <c r="B852" s="17" t="s">
        <v>70</v>
      </c>
      <c r="C852" s="53">
        <v>5.9006030623995974E-2</v>
      </c>
      <c r="D852" s="22">
        <v>6.9444444444444447E-4</v>
      </c>
    </row>
    <row r="853" spans="1:4" x14ac:dyDescent="0.25">
      <c r="A853" s="17" t="s">
        <v>84</v>
      </c>
      <c r="B853" s="17" t="s">
        <v>71</v>
      </c>
      <c r="C853" s="51">
        <v>3.504634134970349E-2</v>
      </c>
      <c r="D853" s="19">
        <v>6.9444444444444447E-4</v>
      </c>
    </row>
    <row r="854" spans="1:4" x14ac:dyDescent="0.25">
      <c r="A854" s="17" t="s">
        <v>84</v>
      </c>
      <c r="B854" s="17" t="s">
        <v>72</v>
      </c>
      <c r="C854" s="53">
        <v>7.8955856812526384E-2</v>
      </c>
      <c r="D854" s="22">
        <v>6.9444444444444447E-4</v>
      </c>
    </row>
    <row r="855" spans="1:4" x14ac:dyDescent="0.25">
      <c r="A855" s="17" t="s">
        <v>84</v>
      </c>
      <c r="B855" s="17" t="s">
        <v>73</v>
      </c>
      <c r="C855" s="51">
        <v>2.3286454796727151E-2</v>
      </c>
      <c r="D855" s="19">
        <v>6.9444444444444447E-4</v>
      </c>
    </row>
    <row r="856" spans="1:4" x14ac:dyDescent="0.25">
      <c r="A856" s="17" t="s">
        <v>84</v>
      </c>
      <c r="B856" s="17" t="s">
        <v>74</v>
      </c>
      <c r="C856" s="53">
        <v>3.2253629408180759E-2</v>
      </c>
      <c r="D856" s="22">
        <v>6.9444444444444447E-4</v>
      </c>
    </row>
    <row r="857" spans="1:4" x14ac:dyDescent="0.25">
      <c r="A857" s="17" t="s">
        <v>84</v>
      </c>
      <c r="B857" s="17" t="s">
        <v>75</v>
      </c>
      <c r="C857" s="51">
        <v>0.11626450650994258</v>
      </c>
      <c r="D857" s="19">
        <v>6.9444444444444447E-4</v>
      </c>
    </row>
    <row r="858" spans="1:4" x14ac:dyDescent="0.25">
      <c r="A858" s="17" t="s">
        <v>84</v>
      </c>
      <c r="B858" s="17" t="s">
        <v>76</v>
      </c>
      <c r="C858" s="53">
        <v>0.10924664976556331</v>
      </c>
      <c r="D858" s="22">
        <v>6.9444444444444447E-4</v>
      </c>
    </row>
    <row r="859" spans="1:4" x14ac:dyDescent="0.25">
      <c r="A859" s="17" t="s">
        <v>84</v>
      </c>
      <c r="B859" s="17" t="s">
        <v>77</v>
      </c>
      <c r="C859" s="51">
        <v>3.0265943715670787E-2</v>
      </c>
      <c r="D859" s="19">
        <v>6.9444444444444447E-4</v>
      </c>
    </row>
    <row r="860" spans="1:4" x14ac:dyDescent="0.25">
      <c r="A860" s="17" t="s">
        <v>84</v>
      </c>
      <c r="B860" s="17" t="s">
        <v>78</v>
      </c>
      <c r="C860" s="53">
        <v>5.4490258000862921E-2</v>
      </c>
      <c r="D860" s="22">
        <v>6.9444444444444447E-4</v>
      </c>
    </row>
    <row r="861" spans="1:4" x14ac:dyDescent="0.25">
      <c r="A861" s="17" t="s">
        <v>84</v>
      </c>
      <c r="B861" s="17" t="s">
        <v>79</v>
      </c>
      <c r="C861" s="51">
        <v>8.2175420656057305E-2</v>
      </c>
      <c r="D861" s="19">
        <v>6.9444444444444447E-4</v>
      </c>
    </row>
    <row r="862" spans="1:4" x14ac:dyDescent="0.25">
      <c r="A862" s="17" t="s">
        <v>84</v>
      </c>
      <c r="B862" s="17" t="s">
        <v>80</v>
      </c>
      <c r="C862" s="53">
        <v>8.0563398171875605E-2</v>
      </c>
      <c r="D862" s="22">
        <v>6.9444444444444447E-4</v>
      </c>
    </row>
    <row r="863" spans="1:4" x14ac:dyDescent="0.25">
      <c r="A863" s="17" t="s">
        <v>84</v>
      </c>
      <c r="B863" s="17" t="s">
        <v>81</v>
      </c>
      <c r="C863" s="51">
        <v>0.1207152572171353</v>
      </c>
      <c r="D863" s="19">
        <v>6.9444444444444447E-4</v>
      </c>
    </row>
    <row r="864" spans="1:4" x14ac:dyDescent="0.25">
      <c r="A864" s="17" t="s">
        <v>84</v>
      </c>
      <c r="B864" s="17" t="s">
        <v>82</v>
      </c>
      <c r="C864" s="53">
        <v>4.0394345210684586E-2</v>
      </c>
      <c r="D864" s="22">
        <v>6.9444444444444447E-4</v>
      </c>
    </row>
    <row r="865" spans="1:4" x14ac:dyDescent="0.25">
      <c r="A865" s="17" t="s">
        <v>84</v>
      </c>
      <c r="B865" s="17" t="s">
        <v>83</v>
      </c>
      <c r="C865" s="51">
        <v>6.7464203041317589E-2</v>
      </c>
      <c r="D865" s="19">
        <v>6.9444444444444447E-4</v>
      </c>
    </row>
    <row r="866" spans="1:4" x14ac:dyDescent="0.25">
      <c r="A866" s="17" t="s">
        <v>84</v>
      </c>
      <c r="B866" s="17" t="s">
        <v>84</v>
      </c>
      <c r="C866" s="53">
        <v>0</v>
      </c>
      <c r="D866" s="22">
        <v>0</v>
      </c>
    </row>
    <row r="867" spans="1:4" x14ac:dyDescent="0.25">
      <c r="A867" s="17" t="s">
        <v>84</v>
      </c>
      <c r="B867" s="17" t="s">
        <v>85</v>
      </c>
      <c r="C867" s="51">
        <v>5.5585444614570073E-2</v>
      </c>
      <c r="D867" s="19">
        <v>6.9444444444444447E-4</v>
      </c>
    </row>
    <row r="868" spans="1:4" x14ac:dyDescent="0.25">
      <c r="A868" s="17" t="s">
        <v>84</v>
      </c>
      <c r="B868" s="17" t="s">
        <v>86</v>
      </c>
      <c r="C868" s="53">
        <v>4.8853200263645223E-2</v>
      </c>
      <c r="D868" s="22">
        <v>6.9444444444444447E-4</v>
      </c>
    </row>
    <row r="869" spans="1:4" x14ac:dyDescent="0.25">
      <c r="A869" s="17" t="s">
        <v>84</v>
      </c>
      <c r="B869" s="17" t="s">
        <v>87</v>
      </c>
      <c r="C869" s="51">
        <v>4.2099369365818394E-2</v>
      </c>
      <c r="D869" s="19">
        <v>6.9444444444444447E-4</v>
      </c>
    </row>
    <row r="870" spans="1:4" x14ac:dyDescent="0.25">
      <c r="A870" s="17" t="s">
        <v>85</v>
      </c>
      <c r="B870" s="17" t="s">
        <v>55</v>
      </c>
      <c r="C870" s="53">
        <v>0.20010899780119371</v>
      </c>
      <c r="D870" s="22">
        <v>6.9444444444444447E-4</v>
      </c>
    </row>
    <row r="871" spans="1:4" x14ac:dyDescent="0.25">
      <c r="A871" s="17" t="s">
        <v>85</v>
      </c>
      <c r="B871" s="17" t="s">
        <v>57</v>
      </c>
      <c r="C871" s="51">
        <v>0.13104476879295926</v>
      </c>
      <c r="D871" s="19">
        <v>6.9444444444444447E-4</v>
      </c>
    </row>
    <row r="872" spans="1:4" x14ac:dyDescent="0.25">
      <c r="A872" s="17" t="s">
        <v>85</v>
      </c>
      <c r="B872" s="17" t="s">
        <v>59</v>
      </c>
      <c r="C872" s="53">
        <v>0.13686656626437127</v>
      </c>
      <c r="D872" s="22">
        <v>6.9444444444444447E-4</v>
      </c>
    </row>
    <row r="873" spans="1:4" x14ac:dyDescent="0.25">
      <c r="A873" s="17" t="s">
        <v>85</v>
      </c>
      <c r="B873" s="17" t="s">
        <v>60</v>
      </c>
      <c r="C873" s="51">
        <v>0.15529183594567728</v>
      </c>
      <c r="D873" s="19">
        <v>6.9444444444444447E-4</v>
      </c>
    </row>
    <row r="874" spans="1:4" x14ac:dyDescent="0.25">
      <c r="A874" s="17" t="s">
        <v>85</v>
      </c>
      <c r="B874" s="17" t="s">
        <v>61</v>
      </c>
      <c r="C874" s="53">
        <v>0.11948584905753463</v>
      </c>
      <c r="D874" s="22">
        <v>6.9444444444444447E-4</v>
      </c>
    </row>
    <row r="875" spans="1:4" x14ac:dyDescent="0.25">
      <c r="A875" s="17" t="s">
        <v>85</v>
      </c>
      <c r="B875" s="17" t="s">
        <v>62</v>
      </c>
      <c r="C875" s="51">
        <v>0.10098804384678413</v>
      </c>
      <c r="D875" s="19">
        <v>6.9444444444444447E-4</v>
      </c>
    </row>
    <row r="876" spans="1:4" x14ac:dyDescent="0.25">
      <c r="A876" s="17" t="s">
        <v>85</v>
      </c>
      <c r="B876" s="17" t="s">
        <v>63</v>
      </c>
      <c r="C876" s="53">
        <v>0.17506096609467092</v>
      </c>
      <c r="D876" s="22">
        <v>6.9444444444444447E-4</v>
      </c>
    </row>
    <row r="877" spans="1:4" x14ac:dyDescent="0.25">
      <c r="A877" s="17" t="s">
        <v>85</v>
      </c>
      <c r="B877" s="17" t="s">
        <v>64</v>
      </c>
      <c r="C877" s="51">
        <v>8.8621085357830892E-2</v>
      </c>
      <c r="D877" s="19">
        <v>6.9444444444444447E-4</v>
      </c>
    </row>
    <row r="878" spans="1:4" x14ac:dyDescent="0.25">
      <c r="A878" s="17" t="s">
        <v>85</v>
      </c>
      <c r="B878" s="17" t="s">
        <v>65</v>
      </c>
      <c r="C878" s="53">
        <v>0.13041930556478212</v>
      </c>
      <c r="D878" s="22">
        <v>6.9444444444444447E-4</v>
      </c>
    </row>
    <row r="879" spans="1:4" x14ac:dyDescent="0.25">
      <c r="A879" s="17" t="s">
        <v>85</v>
      </c>
      <c r="B879" s="17" t="s">
        <v>66</v>
      </c>
      <c r="C879" s="51">
        <v>0.10443562888210124</v>
      </c>
      <c r="D879" s="19">
        <v>6.9444444444444447E-4</v>
      </c>
    </row>
    <row r="880" spans="1:4" x14ac:dyDescent="0.25">
      <c r="A880" s="17" t="s">
        <v>85</v>
      </c>
      <c r="B880" s="17" t="s">
        <v>67</v>
      </c>
      <c r="C880" s="53">
        <v>0.10853972474629055</v>
      </c>
      <c r="D880" s="22">
        <v>6.9444444444444447E-4</v>
      </c>
    </row>
    <row r="881" spans="1:4" x14ac:dyDescent="0.25">
      <c r="A881" s="17" t="s">
        <v>85</v>
      </c>
      <c r="B881" s="17" t="s">
        <v>68</v>
      </c>
      <c r="C881" s="51">
        <v>0.1232002563511935</v>
      </c>
      <c r="D881" s="19">
        <v>6.9444444444444447E-4</v>
      </c>
    </row>
    <row r="882" spans="1:4" x14ac:dyDescent="0.25">
      <c r="A882" s="17" t="s">
        <v>85</v>
      </c>
      <c r="B882" s="17" t="s">
        <v>69</v>
      </c>
      <c r="C882" s="53">
        <v>0.10555718571939966</v>
      </c>
      <c r="D882" s="22">
        <v>6.9444444444444447E-4</v>
      </c>
    </row>
    <row r="883" spans="1:4" x14ac:dyDescent="0.25">
      <c r="A883" s="17" t="s">
        <v>85</v>
      </c>
      <c r="B883" s="17" t="s">
        <v>70</v>
      </c>
      <c r="C883" s="51">
        <v>5.7837233759919511E-2</v>
      </c>
      <c r="D883" s="19">
        <v>6.9444444444444447E-4</v>
      </c>
    </row>
    <row r="884" spans="1:4" x14ac:dyDescent="0.25">
      <c r="A884" s="17" t="s">
        <v>85</v>
      </c>
      <c r="B884" s="17" t="s">
        <v>71</v>
      </c>
      <c r="C884" s="53">
        <v>8.9824415528289805E-2</v>
      </c>
      <c r="D884" s="22">
        <v>6.9444444444444447E-4</v>
      </c>
    </row>
    <row r="885" spans="1:4" x14ac:dyDescent="0.25">
      <c r="A885" s="17" t="s">
        <v>85</v>
      </c>
      <c r="B885" s="17" t="s">
        <v>72</v>
      </c>
      <c r="C885" s="51">
        <v>9.1286622557741393E-2</v>
      </c>
      <c r="D885" s="19">
        <v>6.9444444444444447E-4</v>
      </c>
    </row>
    <row r="886" spans="1:4" x14ac:dyDescent="0.25">
      <c r="A886" s="17" t="s">
        <v>85</v>
      </c>
      <c r="B886" s="17" t="s">
        <v>73</v>
      </c>
      <c r="C886" s="53">
        <v>7.8870599706096167E-2</v>
      </c>
      <c r="D886" s="22">
        <v>6.9444444444444447E-4</v>
      </c>
    </row>
    <row r="887" spans="1:4" x14ac:dyDescent="0.25">
      <c r="A887" s="17" t="s">
        <v>85</v>
      </c>
      <c r="B887" s="17" t="s">
        <v>74</v>
      </c>
      <c r="C887" s="51">
        <v>8.6865648267885801E-2</v>
      </c>
      <c r="D887" s="19">
        <v>6.9444444444444447E-4</v>
      </c>
    </row>
    <row r="888" spans="1:4" x14ac:dyDescent="0.25">
      <c r="A888" s="17" t="s">
        <v>85</v>
      </c>
      <c r="B888" s="17" t="s">
        <v>75</v>
      </c>
      <c r="C888" s="53">
        <v>0.11353429494650162</v>
      </c>
      <c r="D888" s="22">
        <v>6.9444444444444447E-4</v>
      </c>
    </row>
    <row r="889" spans="1:4" x14ac:dyDescent="0.25">
      <c r="A889" s="17" t="s">
        <v>85</v>
      </c>
      <c r="B889" s="17" t="s">
        <v>76</v>
      </c>
      <c r="C889" s="51">
        <v>0.10603570087474766</v>
      </c>
      <c r="D889" s="19">
        <v>6.9444444444444447E-4</v>
      </c>
    </row>
    <row r="890" spans="1:4" x14ac:dyDescent="0.25">
      <c r="A890" s="17" t="s">
        <v>85</v>
      </c>
      <c r="B890" s="17" t="s">
        <v>77</v>
      </c>
      <c r="C890" s="53">
        <v>8.0908229025231204E-2</v>
      </c>
      <c r="D890" s="22">
        <v>6.9444444444444447E-4</v>
      </c>
    </row>
    <row r="891" spans="1:4" x14ac:dyDescent="0.25">
      <c r="A891" s="17" t="s">
        <v>85</v>
      </c>
      <c r="B891" s="17" t="s">
        <v>78</v>
      </c>
      <c r="C891" s="51">
        <v>0.10674160810105744</v>
      </c>
      <c r="D891" s="19">
        <v>6.9444444444444447E-4</v>
      </c>
    </row>
    <row r="892" spans="1:4" x14ac:dyDescent="0.25">
      <c r="A892" s="17" t="s">
        <v>85</v>
      </c>
      <c r="B892" s="17" t="s">
        <v>79</v>
      </c>
      <c r="C892" s="53">
        <v>8.6245070983792096E-2</v>
      </c>
      <c r="D892" s="22">
        <v>6.9444444444444447E-4</v>
      </c>
    </row>
    <row r="893" spans="1:4" x14ac:dyDescent="0.25">
      <c r="A893" s="17" t="s">
        <v>85</v>
      </c>
      <c r="B893" s="17" t="s">
        <v>80</v>
      </c>
      <c r="C893" s="51">
        <v>7.7143561766356256E-2</v>
      </c>
      <c r="D893" s="19">
        <v>6.9444444444444447E-4</v>
      </c>
    </row>
    <row r="894" spans="1:4" x14ac:dyDescent="0.25">
      <c r="A894" s="17" t="s">
        <v>85</v>
      </c>
      <c r="B894" s="17" t="s">
        <v>81</v>
      </c>
      <c r="C894" s="53">
        <v>0.12063347446708246</v>
      </c>
      <c r="D894" s="22">
        <v>6.9444444444444447E-4</v>
      </c>
    </row>
    <row r="895" spans="1:4" x14ac:dyDescent="0.25">
      <c r="A895" s="17" t="s">
        <v>85</v>
      </c>
      <c r="B895" s="17" t="s">
        <v>82</v>
      </c>
      <c r="C895" s="51">
        <v>2.2693305797080298E-2</v>
      </c>
      <c r="D895" s="19">
        <v>6.9444444444444447E-4</v>
      </c>
    </row>
    <row r="896" spans="1:4" x14ac:dyDescent="0.25">
      <c r="A896" s="17" t="s">
        <v>85</v>
      </c>
      <c r="B896" s="17" t="s">
        <v>83</v>
      </c>
      <c r="C896" s="53">
        <v>6.5789422348887266E-2</v>
      </c>
      <c r="D896" s="22">
        <v>6.9444444444444447E-4</v>
      </c>
    </row>
    <row r="897" spans="1:4" x14ac:dyDescent="0.25">
      <c r="A897" s="17" t="s">
        <v>85</v>
      </c>
      <c r="B897" s="17" t="s">
        <v>84</v>
      </c>
      <c r="C897" s="51">
        <v>5.5585444614570073E-2</v>
      </c>
      <c r="D897" s="19">
        <v>6.9444444444444447E-4</v>
      </c>
    </row>
    <row r="898" spans="1:4" x14ac:dyDescent="0.25">
      <c r="A898" s="17" t="s">
        <v>85</v>
      </c>
      <c r="B898" s="17" t="s">
        <v>85</v>
      </c>
      <c r="C898" s="53">
        <v>0</v>
      </c>
      <c r="D898" s="22">
        <v>0</v>
      </c>
    </row>
    <row r="899" spans="1:4" x14ac:dyDescent="0.25">
      <c r="A899" s="17" t="s">
        <v>85</v>
      </c>
      <c r="B899" s="17" t="s">
        <v>86</v>
      </c>
      <c r="C899" s="51">
        <v>1.1917099689104005E-2</v>
      </c>
      <c r="D899" s="19">
        <v>6.9444444444444447E-4</v>
      </c>
    </row>
    <row r="900" spans="1:4" x14ac:dyDescent="0.25">
      <c r="A900" s="17" t="s">
        <v>85</v>
      </c>
      <c r="B900" s="17" t="s">
        <v>87</v>
      </c>
      <c r="C900" s="53">
        <v>6.780966928100797E-2</v>
      </c>
      <c r="D900" s="22">
        <v>6.9444444444444447E-4</v>
      </c>
    </row>
    <row r="901" spans="1:4" x14ac:dyDescent="0.25">
      <c r="A901" s="17" t="s">
        <v>86</v>
      </c>
      <c r="B901" s="17" t="s">
        <v>55</v>
      </c>
      <c r="C901" s="51">
        <v>0.18884774901490964</v>
      </c>
      <c r="D901" s="19">
        <v>6.9444444444444447E-4</v>
      </c>
    </row>
    <row r="902" spans="1:4" x14ac:dyDescent="0.25">
      <c r="A902" s="17" t="s">
        <v>86</v>
      </c>
      <c r="B902" s="17" t="s">
        <v>57</v>
      </c>
      <c r="C902" s="53">
        <v>0.12019619628341099</v>
      </c>
      <c r="D902" s="22">
        <v>6.9444444444444447E-4</v>
      </c>
    </row>
    <row r="903" spans="1:4" x14ac:dyDescent="0.25">
      <c r="A903" s="17" t="s">
        <v>86</v>
      </c>
      <c r="B903" s="17" t="s">
        <v>59</v>
      </c>
      <c r="C903" s="51">
        <v>0.1249617172497209</v>
      </c>
      <c r="D903" s="19">
        <v>6.9444444444444447E-4</v>
      </c>
    </row>
    <row r="904" spans="1:4" x14ac:dyDescent="0.25">
      <c r="A904" s="17" t="s">
        <v>86</v>
      </c>
      <c r="B904" s="17" t="s">
        <v>60</v>
      </c>
      <c r="C904" s="53">
        <v>0.14350563711498909</v>
      </c>
      <c r="D904" s="22">
        <v>6.9444444444444447E-4</v>
      </c>
    </row>
    <row r="905" spans="1:4" x14ac:dyDescent="0.25">
      <c r="A905" s="17" t="s">
        <v>86</v>
      </c>
      <c r="B905" s="17" t="s">
        <v>61</v>
      </c>
      <c r="C905" s="51">
        <v>0.10846546983256951</v>
      </c>
      <c r="D905" s="19">
        <v>6.9444444444444447E-4</v>
      </c>
    </row>
    <row r="906" spans="1:4" x14ac:dyDescent="0.25">
      <c r="A906" s="17" t="s">
        <v>86</v>
      </c>
      <c r="B906" s="17" t="s">
        <v>62</v>
      </c>
      <c r="C906" s="53">
        <v>8.9106133778768318E-2</v>
      </c>
      <c r="D906" s="22">
        <v>6.9444444444444447E-4</v>
      </c>
    </row>
    <row r="907" spans="1:4" x14ac:dyDescent="0.25">
      <c r="A907" s="17" t="s">
        <v>86</v>
      </c>
      <c r="B907" s="17" t="s">
        <v>63</v>
      </c>
      <c r="C907" s="51">
        <v>0.16406935645939413</v>
      </c>
      <c r="D907" s="19">
        <v>6.9444444444444447E-4</v>
      </c>
    </row>
    <row r="908" spans="1:4" x14ac:dyDescent="0.25">
      <c r="A908" s="17" t="s">
        <v>86</v>
      </c>
      <c r="B908" s="17" t="s">
        <v>64</v>
      </c>
      <c r="C908" s="53">
        <v>7.8055301197292828E-2</v>
      </c>
      <c r="D908" s="22">
        <v>6.9444444444444447E-4</v>
      </c>
    </row>
    <row r="909" spans="1:4" x14ac:dyDescent="0.25">
      <c r="A909" s="17" t="s">
        <v>86</v>
      </c>
      <c r="B909" s="17" t="s">
        <v>65</v>
      </c>
      <c r="C909" s="51">
        <v>0.11898760399722309</v>
      </c>
      <c r="D909" s="19">
        <v>6.9444444444444447E-4</v>
      </c>
    </row>
    <row r="910" spans="1:4" x14ac:dyDescent="0.25">
      <c r="A910" s="17" t="s">
        <v>86</v>
      </c>
      <c r="B910" s="17" t="s">
        <v>66</v>
      </c>
      <c r="C910" s="53">
        <v>9.4238435497413814E-2</v>
      </c>
      <c r="D910" s="22">
        <v>6.9444444444444447E-4</v>
      </c>
    </row>
    <row r="911" spans="1:4" x14ac:dyDescent="0.25">
      <c r="A911" s="17" t="s">
        <v>86</v>
      </c>
      <c r="B911" s="17" t="s">
        <v>67</v>
      </c>
      <c r="C911" s="51">
        <v>9.6764148882734227E-2</v>
      </c>
      <c r="D911" s="19">
        <v>6.9444444444444447E-4</v>
      </c>
    </row>
    <row r="912" spans="1:4" x14ac:dyDescent="0.25">
      <c r="A912" s="17" t="s">
        <v>86</v>
      </c>
      <c r="B912" s="17" t="s">
        <v>68</v>
      </c>
      <c r="C912" s="53">
        <v>0.11481186124264536</v>
      </c>
      <c r="D912" s="22">
        <v>6.9444444444444447E-4</v>
      </c>
    </row>
    <row r="913" spans="1:4" x14ac:dyDescent="0.25">
      <c r="A913" s="17" t="s">
        <v>86</v>
      </c>
      <c r="B913" s="17" t="s">
        <v>69</v>
      </c>
      <c r="C913" s="51">
        <v>9.6768537366234614E-2</v>
      </c>
      <c r="D913" s="19">
        <v>6.9444444444444447E-4</v>
      </c>
    </row>
    <row r="914" spans="1:4" x14ac:dyDescent="0.25">
      <c r="A914" s="17" t="s">
        <v>86</v>
      </c>
      <c r="B914" s="17" t="s">
        <v>70</v>
      </c>
      <c r="C914" s="53">
        <v>6.3452998053679557E-2</v>
      </c>
      <c r="D914" s="22">
        <v>6.9444444444444447E-4</v>
      </c>
    </row>
    <row r="915" spans="1:4" x14ac:dyDescent="0.25">
      <c r="A915" s="17" t="s">
        <v>86</v>
      </c>
      <c r="B915" s="17" t="s">
        <v>71</v>
      </c>
      <c r="C915" s="51">
        <v>8.3825217601862276E-2</v>
      </c>
      <c r="D915" s="19">
        <v>6.9444444444444447E-4</v>
      </c>
    </row>
    <row r="916" spans="1:4" x14ac:dyDescent="0.25">
      <c r="A916" s="17" t="s">
        <v>86</v>
      </c>
      <c r="B916" s="17" t="s">
        <v>72</v>
      </c>
      <c r="C916" s="53">
        <v>9.5945740504727997E-2</v>
      </c>
      <c r="D916" s="22">
        <v>6.9444444444444447E-4</v>
      </c>
    </row>
    <row r="917" spans="1:4" x14ac:dyDescent="0.25">
      <c r="A917" s="17" t="s">
        <v>86</v>
      </c>
      <c r="B917" s="17" t="s">
        <v>73</v>
      </c>
      <c r="C917" s="51">
        <v>7.1894532789356008E-2</v>
      </c>
      <c r="D917" s="19">
        <v>6.9444444444444447E-4</v>
      </c>
    </row>
    <row r="918" spans="1:4" x14ac:dyDescent="0.25">
      <c r="A918" s="17" t="s">
        <v>86</v>
      </c>
      <c r="B918" s="17" t="s">
        <v>74</v>
      </c>
      <c r="C918" s="53">
        <v>7.8709898246665952E-2</v>
      </c>
      <c r="D918" s="22">
        <v>6.9444444444444447E-4</v>
      </c>
    </row>
    <row r="919" spans="1:4" x14ac:dyDescent="0.25">
      <c r="A919" s="17" t="s">
        <v>86</v>
      </c>
      <c r="B919" s="17" t="s">
        <v>75</v>
      </c>
      <c r="C919" s="51">
        <v>0.12140501384210023</v>
      </c>
      <c r="D919" s="19">
        <v>6.9444444444444447E-4</v>
      </c>
    </row>
    <row r="920" spans="1:4" x14ac:dyDescent="0.25">
      <c r="A920" s="17" t="s">
        <v>86</v>
      </c>
      <c r="B920" s="17" t="s">
        <v>76</v>
      </c>
      <c r="C920" s="53">
        <v>0.11385577118881632</v>
      </c>
      <c r="D920" s="22">
        <v>6.9444444444444447E-4</v>
      </c>
    </row>
    <row r="921" spans="1:4" x14ac:dyDescent="0.25">
      <c r="A921" s="17" t="s">
        <v>86</v>
      </c>
      <c r="B921" s="17" t="s">
        <v>77</v>
      </c>
      <c r="C921" s="51">
        <v>7.6549829686290205E-2</v>
      </c>
      <c r="D921" s="19">
        <v>6.9444444444444447E-4</v>
      </c>
    </row>
    <row r="922" spans="1:4" x14ac:dyDescent="0.25">
      <c r="A922" s="17" t="s">
        <v>86</v>
      </c>
      <c r="B922" s="17" t="s">
        <v>78</v>
      </c>
      <c r="C922" s="53">
        <v>0.10215122505873687</v>
      </c>
      <c r="D922" s="22">
        <v>6.9444444444444447E-4</v>
      </c>
    </row>
    <row r="923" spans="1:4" x14ac:dyDescent="0.25">
      <c r="A923" s="17" t="s">
        <v>86</v>
      </c>
      <c r="B923" s="17" t="s">
        <v>79</v>
      </c>
      <c r="C923" s="51">
        <v>9.2298878389720049E-2</v>
      </c>
      <c r="D923" s="19">
        <v>6.9444444444444447E-4</v>
      </c>
    </row>
    <row r="924" spans="1:4" x14ac:dyDescent="0.25">
      <c r="A924" s="17" t="s">
        <v>86</v>
      </c>
      <c r="B924" s="17" t="s">
        <v>80</v>
      </c>
      <c r="C924" s="53">
        <v>8.4239262016001376E-2</v>
      </c>
      <c r="D924" s="22">
        <v>6.9444444444444447E-4</v>
      </c>
    </row>
    <row r="925" spans="1:4" x14ac:dyDescent="0.25">
      <c r="A925" s="17" t="s">
        <v>86</v>
      </c>
      <c r="B925" s="17" t="s">
        <v>81</v>
      </c>
      <c r="C925" s="51">
        <v>0.11008705602839643</v>
      </c>
      <c r="D925" s="19">
        <v>6.9444444444444447E-4</v>
      </c>
    </row>
    <row r="926" spans="1:4" x14ac:dyDescent="0.25">
      <c r="A926" s="17" t="s">
        <v>86</v>
      </c>
      <c r="B926" s="17" t="s">
        <v>82</v>
      </c>
      <c r="C926" s="53">
        <v>1.1295308804981698E-2</v>
      </c>
      <c r="D926" s="22">
        <v>6.9444444444444447E-4</v>
      </c>
    </row>
    <row r="927" spans="1:4" x14ac:dyDescent="0.25">
      <c r="A927" s="17" t="s">
        <v>86</v>
      </c>
      <c r="B927" s="17" t="s">
        <v>83</v>
      </c>
      <c r="C927" s="51">
        <v>5.4472695729143789E-2</v>
      </c>
      <c r="D927" s="19">
        <v>6.9444444444444447E-4</v>
      </c>
    </row>
    <row r="928" spans="1:4" x14ac:dyDescent="0.25">
      <c r="A928" s="17" t="s">
        <v>86</v>
      </c>
      <c r="B928" s="17" t="s">
        <v>84</v>
      </c>
      <c r="C928" s="53">
        <v>4.8853200263645223E-2</v>
      </c>
      <c r="D928" s="22">
        <v>6.9444444444444447E-4</v>
      </c>
    </row>
    <row r="929" spans="1:4" x14ac:dyDescent="0.25">
      <c r="A929" s="17" t="s">
        <v>86</v>
      </c>
      <c r="B929" s="17" t="s">
        <v>85</v>
      </c>
      <c r="C929" s="51">
        <v>1.1917099689104005E-2</v>
      </c>
      <c r="D929" s="19">
        <v>6.9444444444444447E-4</v>
      </c>
    </row>
    <row r="930" spans="1:4" x14ac:dyDescent="0.25">
      <c r="A930" s="17" t="s">
        <v>86</v>
      </c>
      <c r="B930" s="17" t="s">
        <v>86</v>
      </c>
      <c r="C930" s="53">
        <v>0</v>
      </c>
      <c r="D930" s="22">
        <v>0</v>
      </c>
    </row>
    <row r="931" spans="1:4" x14ac:dyDescent="0.25">
      <c r="A931" s="17" t="s">
        <v>86</v>
      </c>
      <c r="B931" s="17" t="s">
        <v>87</v>
      </c>
      <c r="C931" s="51">
        <v>5.6210665331409171E-2</v>
      </c>
      <c r="D931" s="19">
        <v>6.9444444444444447E-4</v>
      </c>
    </row>
    <row r="932" spans="1:4" x14ac:dyDescent="0.25">
      <c r="A932" s="17" t="s">
        <v>87</v>
      </c>
      <c r="B932" s="17" t="s">
        <v>55</v>
      </c>
      <c r="C932" s="53">
        <v>0.13295149548989446</v>
      </c>
      <c r="D932" s="22">
        <v>6.9444444444444447E-4</v>
      </c>
    </row>
    <row r="933" spans="1:4" x14ac:dyDescent="0.25">
      <c r="A933" s="17" t="s">
        <v>87</v>
      </c>
      <c r="B933" s="17" t="s">
        <v>57</v>
      </c>
      <c r="C933" s="51">
        <v>6.589757109332843E-2</v>
      </c>
      <c r="D933" s="19">
        <v>6.9444444444444447E-4</v>
      </c>
    </row>
    <row r="934" spans="1:4" x14ac:dyDescent="0.25">
      <c r="A934" s="17" t="s">
        <v>87</v>
      </c>
      <c r="B934" s="17" t="s">
        <v>59</v>
      </c>
      <c r="C934" s="53">
        <v>7.0904712346923984E-2</v>
      </c>
      <c r="D934" s="22">
        <v>6.9444444444444447E-4</v>
      </c>
    </row>
    <row r="935" spans="1:4" x14ac:dyDescent="0.25">
      <c r="A935" s="17" t="s">
        <v>87</v>
      </c>
      <c r="B935" s="17" t="s">
        <v>60</v>
      </c>
      <c r="C935" s="51">
        <v>8.7758971654070358E-2</v>
      </c>
      <c r="D935" s="19">
        <v>6.9444444444444447E-4</v>
      </c>
    </row>
    <row r="936" spans="1:4" x14ac:dyDescent="0.25">
      <c r="A936" s="17" t="s">
        <v>87</v>
      </c>
      <c r="B936" s="17" t="s">
        <v>61</v>
      </c>
      <c r="C936" s="53">
        <v>5.36538731220794E-2</v>
      </c>
      <c r="D936" s="22">
        <v>6.9444444444444447E-4</v>
      </c>
    </row>
    <row r="937" spans="1:4" x14ac:dyDescent="0.25">
      <c r="A937" s="17" t="s">
        <v>87</v>
      </c>
      <c r="B937" s="17" t="s">
        <v>62</v>
      </c>
      <c r="C937" s="51">
        <v>3.5092735772523233E-2</v>
      </c>
      <c r="D937" s="19">
        <v>6.9444444444444447E-4</v>
      </c>
    </row>
    <row r="938" spans="1:4" x14ac:dyDescent="0.25">
      <c r="A938" s="17" t="s">
        <v>87</v>
      </c>
      <c r="B938" s="17" t="s">
        <v>63</v>
      </c>
      <c r="C938" s="53">
        <v>0.10888878422500772</v>
      </c>
      <c r="D938" s="22">
        <v>6.9444444444444447E-4</v>
      </c>
    </row>
    <row r="939" spans="1:4" x14ac:dyDescent="0.25">
      <c r="A939" s="17" t="s">
        <v>87</v>
      </c>
      <c r="B939" s="17" t="s">
        <v>64</v>
      </c>
      <c r="C939" s="51">
        <v>2.779818256649216E-2</v>
      </c>
      <c r="D939" s="19">
        <v>6.9444444444444447E-4</v>
      </c>
    </row>
    <row r="940" spans="1:4" x14ac:dyDescent="0.25">
      <c r="A940" s="17" t="s">
        <v>87</v>
      </c>
      <c r="B940" s="17" t="s">
        <v>65</v>
      </c>
      <c r="C940" s="53">
        <v>6.2886904073903294E-2</v>
      </c>
      <c r="D940" s="22">
        <v>6.9444444444444447E-4</v>
      </c>
    </row>
    <row r="941" spans="1:4" x14ac:dyDescent="0.25">
      <c r="A941" s="17" t="s">
        <v>87</v>
      </c>
      <c r="B941" s="17" t="s">
        <v>66</v>
      </c>
      <c r="C941" s="51">
        <v>4.4581259246460135E-2</v>
      </c>
      <c r="D941" s="19">
        <v>6.9444444444444447E-4</v>
      </c>
    </row>
    <row r="942" spans="1:4" x14ac:dyDescent="0.25">
      <c r="A942" s="17" t="s">
        <v>87</v>
      </c>
      <c r="B942" s="17" t="s">
        <v>67</v>
      </c>
      <c r="C942" s="53">
        <v>5.0814765491935865E-2</v>
      </c>
      <c r="D942" s="22">
        <v>6.9444444444444447E-4</v>
      </c>
    </row>
    <row r="943" spans="1:4" x14ac:dyDescent="0.25">
      <c r="A943" s="17" t="s">
        <v>87</v>
      </c>
      <c r="B943" s="17" t="s">
        <v>68</v>
      </c>
      <c r="C943" s="51">
        <v>7.4056990952915513E-2</v>
      </c>
      <c r="D943" s="19">
        <v>6.9444444444444447E-4</v>
      </c>
    </row>
    <row r="944" spans="1:4" x14ac:dyDescent="0.25">
      <c r="A944" s="17" t="s">
        <v>87</v>
      </c>
      <c r="B944" s="17" t="s">
        <v>69</v>
      </c>
      <c r="C944" s="53">
        <v>5.5885186024564319E-2</v>
      </c>
      <c r="D944" s="22">
        <v>6.9444444444444447E-4</v>
      </c>
    </row>
    <row r="945" spans="1:4" x14ac:dyDescent="0.25">
      <c r="A945" s="17" t="s">
        <v>87</v>
      </c>
      <c r="B945" s="17" t="s">
        <v>70</v>
      </c>
      <c r="C945" s="51">
        <v>9.7134771781269641E-2</v>
      </c>
      <c r="D945" s="19">
        <v>6.9444444444444447E-4</v>
      </c>
    </row>
    <row r="946" spans="1:4" x14ac:dyDescent="0.25">
      <c r="A946" s="17" t="s">
        <v>87</v>
      </c>
      <c r="B946" s="17" t="s">
        <v>71</v>
      </c>
      <c r="C946" s="53">
        <v>6.2920076930970473E-2</v>
      </c>
      <c r="D946" s="22">
        <v>6.9444444444444447E-4</v>
      </c>
    </row>
    <row r="947" spans="1:4" x14ac:dyDescent="0.25">
      <c r="A947" s="17" t="s">
        <v>87</v>
      </c>
      <c r="B947" s="17" t="s">
        <v>72</v>
      </c>
      <c r="C947" s="51">
        <v>0.12066101982827453</v>
      </c>
      <c r="D947" s="19">
        <v>6.9444444444444447E-4</v>
      </c>
    </row>
    <row r="948" spans="1:4" x14ac:dyDescent="0.25">
      <c r="A948" s="17" t="s">
        <v>87</v>
      </c>
      <c r="B948" s="17" t="s">
        <v>73</v>
      </c>
      <c r="C948" s="53">
        <v>4.949564572767496E-2</v>
      </c>
      <c r="D948" s="22">
        <v>6.9444444444444447E-4</v>
      </c>
    </row>
    <row r="949" spans="1:4" x14ac:dyDescent="0.25">
      <c r="A949" s="17" t="s">
        <v>87</v>
      </c>
      <c r="B949" s="17" t="s">
        <v>74</v>
      </c>
      <c r="C949" s="51">
        <v>4.6189069800117125E-2</v>
      </c>
      <c r="D949" s="19">
        <v>6.9444444444444447E-4</v>
      </c>
    </row>
    <row r="950" spans="1:4" x14ac:dyDescent="0.25">
      <c r="A950" s="17" t="s">
        <v>87</v>
      </c>
      <c r="B950" s="17" t="s">
        <v>75</v>
      </c>
      <c r="C950" s="53">
        <v>0.15649877144884997</v>
      </c>
      <c r="D950" s="22">
        <v>6.9444444444444447E-4</v>
      </c>
    </row>
    <row r="951" spans="1:4" x14ac:dyDescent="0.25">
      <c r="A951" s="17" t="s">
        <v>87</v>
      </c>
      <c r="B951" s="17" t="s">
        <v>76</v>
      </c>
      <c r="C951" s="51">
        <v>0.14924171445007745</v>
      </c>
      <c r="D951" s="19">
        <v>6.9444444444444447E-4</v>
      </c>
    </row>
    <row r="952" spans="1:4" x14ac:dyDescent="0.25">
      <c r="A952" s="17" t="s">
        <v>87</v>
      </c>
      <c r="B952" s="17" t="s">
        <v>77</v>
      </c>
      <c r="C952" s="53">
        <v>6.6822344795732333E-2</v>
      </c>
      <c r="D952" s="22">
        <v>6.9444444444444447E-4</v>
      </c>
    </row>
    <row r="953" spans="1:4" x14ac:dyDescent="0.25">
      <c r="A953" s="17" t="s">
        <v>87</v>
      </c>
      <c r="B953" s="17" t="s">
        <v>78</v>
      </c>
      <c r="C953" s="51">
        <v>8.449534872405827E-2</v>
      </c>
      <c r="D953" s="19">
        <v>6.9444444444444447E-4</v>
      </c>
    </row>
    <row r="954" spans="1:4" x14ac:dyDescent="0.25">
      <c r="A954" s="17" t="s">
        <v>87</v>
      </c>
      <c r="B954" s="17" t="s">
        <v>79</v>
      </c>
      <c r="C954" s="53">
        <v>0.12282904228641951</v>
      </c>
      <c r="D954" s="22">
        <v>6.9444444444444447E-4</v>
      </c>
    </row>
    <row r="955" spans="1:4" x14ac:dyDescent="0.25">
      <c r="A955" s="17" t="s">
        <v>87</v>
      </c>
      <c r="B955" s="17" t="s">
        <v>80</v>
      </c>
      <c r="C955" s="51">
        <v>0.11958035515083348</v>
      </c>
      <c r="D955" s="19">
        <v>6.9444444444444447E-4</v>
      </c>
    </row>
    <row r="956" spans="1:4" x14ac:dyDescent="0.25">
      <c r="A956" s="17" t="s">
        <v>87</v>
      </c>
      <c r="B956" s="17" t="s">
        <v>81</v>
      </c>
      <c r="C956" s="53">
        <v>7.9623992979504551E-2</v>
      </c>
      <c r="D956" s="22">
        <v>6.9444444444444447E-4</v>
      </c>
    </row>
    <row r="957" spans="1:4" x14ac:dyDescent="0.25">
      <c r="A957" s="17" t="s">
        <v>87</v>
      </c>
      <c r="B957" s="17" t="s">
        <v>82</v>
      </c>
      <c r="C957" s="51">
        <v>4.5116672926981072E-2</v>
      </c>
      <c r="D957" s="19">
        <v>6.9444444444444447E-4</v>
      </c>
    </row>
    <row r="958" spans="1:4" x14ac:dyDescent="0.25">
      <c r="A958" s="17" t="s">
        <v>87</v>
      </c>
      <c r="B958" s="17" t="s">
        <v>83</v>
      </c>
      <c r="C958" s="53">
        <v>3.3078502701911476E-2</v>
      </c>
      <c r="D958" s="22">
        <v>6.9444444444444447E-4</v>
      </c>
    </row>
    <row r="959" spans="1:4" x14ac:dyDescent="0.25">
      <c r="A959" s="17" t="s">
        <v>87</v>
      </c>
      <c r="B959" s="17" t="s">
        <v>84</v>
      </c>
      <c r="C959" s="51">
        <v>4.2099369365818394E-2</v>
      </c>
      <c r="D959" s="19">
        <v>6.9444444444444447E-4</v>
      </c>
    </row>
    <row r="960" spans="1:4" x14ac:dyDescent="0.25">
      <c r="A960" s="17" t="s">
        <v>87</v>
      </c>
      <c r="B960" s="17" t="s">
        <v>85</v>
      </c>
      <c r="C960" s="53">
        <v>6.780966928100797E-2</v>
      </c>
      <c r="D960" s="22">
        <v>6.9444444444444447E-4</v>
      </c>
    </row>
    <row r="961" spans="1:4" x14ac:dyDescent="0.25">
      <c r="A961" s="17" t="s">
        <v>87</v>
      </c>
      <c r="B961" s="17" t="s">
        <v>86</v>
      </c>
      <c r="C961" s="51">
        <v>5.6210665331409171E-2</v>
      </c>
      <c r="D961" s="19">
        <v>6.9444444444444447E-4</v>
      </c>
    </row>
    <row r="962" spans="1:4" x14ac:dyDescent="0.25">
      <c r="A962" s="16" t="s">
        <v>87</v>
      </c>
      <c r="B962" s="16" t="s">
        <v>87</v>
      </c>
      <c r="C962" s="52">
        <v>0</v>
      </c>
      <c r="D962" s="20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FC478-6D2E-4174-97CC-0E33224A5831}">
  <dimension ref="A1:L3"/>
  <sheetViews>
    <sheetView workbookViewId="0">
      <selection activeCell="L3" sqref="L3"/>
    </sheetView>
  </sheetViews>
  <sheetFormatPr defaultRowHeight="15" x14ac:dyDescent="0.25"/>
  <cols>
    <col min="1" max="1" width="13.7109375" bestFit="1" customWidth="1"/>
    <col min="2" max="2" width="12.140625" bestFit="1" customWidth="1"/>
    <col min="3" max="3" width="8.42578125" bestFit="1" customWidth="1"/>
    <col min="4" max="4" width="17" bestFit="1" customWidth="1"/>
    <col min="5" max="5" width="20.42578125" bestFit="1" customWidth="1"/>
    <col min="6" max="6" width="13.28515625" bestFit="1" customWidth="1"/>
    <col min="7" max="7" width="15" bestFit="1" customWidth="1"/>
    <col min="8" max="8" width="16.5703125" bestFit="1" customWidth="1"/>
    <col min="9" max="9" width="18" bestFit="1" customWidth="1"/>
    <col min="10" max="10" width="12.7109375" bestFit="1" customWidth="1"/>
    <col min="11" max="11" width="13.7109375" hidden="1" customWidth="1"/>
    <col min="12" max="12" width="18.5703125" bestFit="1" customWidth="1"/>
  </cols>
  <sheetData>
    <row r="1" spans="1:12" x14ac:dyDescent="0.25">
      <c r="A1" s="10" t="s">
        <v>93</v>
      </c>
      <c r="B1" s="10" t="s">
        <v>94</v>
      </c>
      <c r="C1" s="10" t="s">
        <v>95</v>
      </c>
      <c r="D1" s="10" t="s">
        <v>96</v>
      </c>
      <c r="E1" s="10" t="s">
        <v>97</v>
      </c>
      <c r="F1" s="10" t="s">
        <v>98</v>
      </c>
      <c r="G1" s="10" t="s">
        <v>99</v>
      </c>
      <c r="H1" s="10" t="s">
        <v>100</v>
      </c>
      <c r="I1" s="10" t="s">
        <v>101</v>
      </c>
      <c r="J1" s="10" t="s">
        <v>102</v>
      </c>
      <c r="K1" s="10" t="s">
        <v>103</v>
      </c>
      <c r="L1" s="10" t="s">
        <v>104</v>
      </c>
    </row>
    <row r="2" spans="1:12" ht="15.75" thickBot="1" x14ac:dyDescent="0.3">
      <c r="A2" s="11" t="s">
        <v>55</v>
      </c>
      <c r="B2" s="54" t="s">
        <v>105</v>
      </c>
      <c r="C2" s="54">
        <v>1000</v>
      </c>
      <c r="D2" s="55">
        <v>0</v>
      </c>
      <c r="E2" s="55">
        <v>1</v>
      </c>
      <c r="F2" s="55">
        <v>300</v>
      </c>
      <c r="G2" s="56">
        <v>0.33333333333333331</v>
      </c>
      <c r="H2" s="57">
        <v>0.375</v>
      </c>
      <c r="I2" s="57">
        <v>0.41666666666666669</v>
      </c>
      <c r="J2" s="54" t="s">
        <v>55</v>
      </c>
      <c r="K2" s="58">
        <f>IFERROR(MATCH(J2,'1.Locations'!$B$2:$B$2,0) - 1," ")</f>
        <v>0</v>
      </c>
      <c r="L2" s="54">
        <v>10</v>
      </c>
    </row>
    <row r="3" spans="1:12" ht="15.75" thickTop="1" x14ac:dyDescent="0.25"/>
  </sheetData>
  <dataValidations count="5">
    <dataValidation type="decimal" operator="greaterThan" allowBlank="1" showInputMessage="1" showErrorMessage="1" error="Please enter a nonnegative value" sqref="C2" xr:uid="{41F771FC-7A0A-43BE-8E8A-5EA19E9B2CA7}">
      <formula1>-0.0001</formula1>
    </dataValidation>
    <dataValidation type="decimal" operator="greaterThan" allowBlank="1" showInputMessage="1" showErrorMessage="1" error="Please enter a nonnegative value" sqref="D2" xr:uid="{EFF87D27-FFDA-4A4B-9A44-4F37131D8D0A}">
      <formula1>-0.0001</formula1>
    </dataValidation>
    <dataValidation type="decimal" operator="greaterThan" allowBlank="1" showInputMessage="1" showErrorMessage="1" error="Please enter a nonnegative value" sqref="E2" xr:uid="{45FAB504-BD9C-4D18-81DB-A6CB1DA9CF7E}">
      <formula1>-0.0001</formula1>
    </dataValidation>
    <dataValidation type="whole" operator="greaterThan" allowBlank="1" showInputMessage="1" showErrorMessage="1" error="Please enter a nonnegative integer value" sqref="F2" xr:uid="{B5D3520F-D6FB-4FFC-BD9A-1A4B0C7B27DC}">
      <formula1>-1</formula1>
    </dataValidation>
    <dataValidation type="decimal" operator="greaterThan" allowBlank="1" showInputMessage="1" showErrorMessage="1" error="Please enter a positive value" sqref="I2" xr:uid="{F4CCA1E8-C285-4C39-A076-88B23104A881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Warning" error="Please select a value from the list available in the selected cell." xr:uid="{18F6ED3B-18EB-4F96-A111-AF354BE088E6}">
          <x14:formula1>
            <xm:f>'1.Locations'!$B$2:$B$2</xm:f>
          </x14:formula1>
          <xm:sqref>J2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0B6DB-273C-4C6E-80CC-86A01545ABE6}">
  <dimension ref="A1:ES39"/>
  <sheetViews>
    <sheetView tabSelected="1" topLeftCell="I1" workbookViewId="0">
      <selection activeCell="U9" sqref="U9"/>
    </sheetView>
  </sheetViews>
  <sheetFormatPr defaultRowHeight="15" x14ac:dyDescent="0.25"/>
  <cols>
    <col min="1" max="1" width="15" bestFit="1" customWidth="1"/>
    <col min="2" max="2" width="14" bestFit="1" customWidth="1"/>
    <col min="3" max="3" width="10.7109375" hidden="1" customWidth="1"/>
    <col min="4" max="4" width="11.140625" hidden="1" customWidth="1"/>
    <col min="5" max="5" width="12.7109375" hidden="1" customWidth="1"/>
    <col min="6" max="6" width="17.28515625" bestFit="1" customWidth="1"/>
    <col min="7" max="7" width="11.85546875" bestFit="1" customWidth="1"/>
    <col min="8" max="8" width="11.42578125" bestFit="1" customWidth="1"/>
    <col min="9" max="9" width="14.7109375" bestFit="1" customWidth="1"/>
    <col min="10" max="10" width="13.28515625" bestFit="1" customWidth="1"/>
    <col min="11" max="11" width="14.7109375" bestFit="1" customWidth="1"/>
    <col min="12" max="12" width="14.28515625" hidden="1" customWidth="1"/>
    <col min="13" max="13" width="15.85546875" hidden="1" customWidth="1"/>
    <col min="14" max="14" width="5.140625" bestFit="1" customWidth="1"/>
    <col min="16" max="16" width="10.42578125" bestFit="1" customWidth="1"/>
    <col min="17" max="17" width="14" bestFit="1" customWidth="1"/>
    <col min="18" max="18" width="10.7109375" hidden="1" customWidth="1"/>
    <col min="19" max="19" width="11.140625" hidden="1" customWidth="1"/>
    <col min="20" max="20" width="12.7109375" hidden="1" customWidth="1"/>
    <col min="21" max="21" width="17.28515625" bestFit="1" customWidth="1"/>
    <col min="22" max="22" width="11.85546875" bestFit="1" customWidth="1"/>
    <col min="23" max="23" width="11.42578125" bestFit="1" customWidth="1"/>
    <col min="24" max="24" width="14.7109375" bestFit="1" customWidth="1"/>
    <col min="25" max="25" width="13.28515625" bestFit="1" customWidth="1"/>
    <col min="26" max="26" width="14.7109375" bestFit="1" customWidth="1"/>
    <col min="27" max="27" width="14.28515625" hidden="1" customWidth="1"/>
    <col min="28" max="28" width="15.85546875" hidden="1" customWidth="1"/>
    <col min="29" max="29" width="5.140625" bestFit="1" customWidth="1"/>
    <col min="31" max="31" width="10.42578125" bestFit="1" customWidth="1"/>
    <col min="32" max="32" width="14" bestFit="1" customWidth="1"/>
    <col min="33" max="33" width="10.7109375" hidden="1" customWidth="1"/>
    <col min="34" max="34" width="11.140625" hidden="1" customWidth="1"/>
    <col min="35" max="35" width="12.7109375" hidden="1" customWidth="1"/>
    <col min="36" max="36" width="17.28515625" bestFit="1" customWidth="1"/>
    <col min="37" max="37" width="11.85546875" bestFit="1" customWidth="1"/>
    <col min="38" max="38" width="11.42578125" bestFit="1" customWidth="1"/>
    <col min="39" max="39" width="14.7109375" bestFit="1" customWidth="1"/>
    <col min="40" max="40" width="13.28515625" bestFit="1" customWidth="1"/>
    <col min="41" max="41" width="14.7109375" bestFit="1" customWidth="1"/>
    <col min="42" max="42" width="14.28515625" hidden="1" customWidth="1"/>
    <col min="43" max="43" width="15.85546875" hidden="1" customWidth="1"/>
    <col min="44" max="44" width="5.140625" bestFit="1" customWidth="1"/>
    <col min="46" max="46" width="10.42578125" bestFit="1" customWidth="1"/>
    <col min="47" max="47" width="14" bestFit="1" customWidth="1"/>
    <col min="48" max="48" width="10.7109375" hidden="1" customWidth="1"/>
    <col min="49" max="49" width="11.140625" hidden="1" customWidth="1"/>
    <col min="50" max="50" width="12.7109375" hidden="1" customWidth="1"/>
    <col min="51" max="51" width="17.28515625" bestFit="1" customWidth="1"/>
    <col min="52" max="52" width="11.85546875" bestFit="1" customWidth="1"/>
    <col min="53" max="53" width="11.42578125" bestFit="1" customWidth="1"/>
    <col min="54" max="54" width="14.7109375" bestFit="1" customWidth="1"/>
    <col min="55" max="55" width="13.28515625" bestFit="1" customWidth="1"/>
    <col min="56" max="56" width="14.7109375" bestFit="1" customWidth="1"/>
    <col min="57" max="57" width="14.28515625" hidden="1" customWidth="1"/>
    <col min="58" max="58" width="15.85546875" hidden="1" customWidth="1"/>
    <col min="59" max="59" width="5.140625" bestFit="1" customWidth="1"/>
    <col min="61" max="61" width="10.42578125" bestFit="1" customWidth="1"/>
    <col min="62" max="62" width="14" bestFit="1" customWidth="1"/>
    <col min="63" max="63" width="10.7109375" hidden="1" customWidth="1"/>
    <col min="64" max="64" width="11.140625" hidden="1" customWidth="1"/>
    <col min="65" max="65" width="12.7109375" hidden="1" customWidth="1"/>
    <col min="66" max="66" width="17.28515625" bestFit="1" customWidth="1"/>
    <col min="67" max="67" width="11.85546875" bestFit="1" customWidth="1"/>
    <col min="68" max="68" width="11.42578125" bestFit="1" customWidth="1"/>
    <col min="69" max="69" width="14.7109375" bestFit="1" customWidth="1"/>
    <col min="70" max="70" width="13.28515625" bestFit="1" customWidth="1"/>
    <col min="71" max="71" width="14.7109375" bestFit="1" customWidth="1"/>
    <col min="72" max="72" width="14.28515625" hidden="1" customWidth="1"/>
    <col min="73" max="73" width="15.85546875" hidden="1" customWidth="1"/>
    <col min="74" max="74" width="5.140625" bestFit="1" customWidth="1"/>
    <col min="76" max="76" width="10.42578125" bestFit="1" customWidth="1"/>
    <col min="77" max="77" width="14" bestFit="1" customWidth="1"/>
    <col min="78" max="78" width="10.7109375" hidden="1" customWidth="1"/>
    <col min="79" max="79" width="11.140625" hidden="1" customWidth="1"/>
    <col min="80" max="80" width="12.7109375" hidden="1" customWidth="1"/>
    <col min="81" max="81" width="17.28515625" bestFit="1" customWidth="1"/>
    <col min="82" max="82" width="11.85546875" bestFit="1" customWidth="1"/>
    <col min="83" max="83" width="11.42578125" bestFit="1" customWidth="1"/>
    <col min="84" max="84" width="14.7109375" bestFit="1" customWidth="1"/>
    <col min="85" max="85" width="13.28515625" bestFit="1" customWidth="1"/>
    <col min="86" max="86" width="14.7109375" bestFit="1" customWidth="1"/>
    <col min="87" max="87" width="14.28515625" hidden="1" customWidth="1"/>
    <col min="88" max="88" width="15.85546875" hidden="1" customWidth="1"/>
    <col min="89" max="89" width="5.140625" bestFit="1" customWidth="1"/>
    <col min="91" max="91" width="10.42578125" bestFit="1" customWidth="1"/>
    <col min="92" max="92" width="14" bestFit="1" customWidth="1"/>
    <col min="93" max="93" width="10.7109375" hidden="1" customWidth="1"/>
    <col min="94" max="94" width="11.140625" hidden="1" customWidth="1"/>
    <col min="95" max="95" width="12.7109375" hidden="1" customWidth="1"/>
    <col min="96" max="96" width="17.28515625" bestFit="1" customWidth="1"/>
    <col min="97" max="97" width="11.85546875" bestFit="1" customWidth="1"/>
    <col min="98" max="98" width="11.42578125" bestFit="1" customWidth="1"/>
    <col min="99" max="99" width="14.7109375" bestFit="1" customWidth="1"/>
    <col min="100" max="100" width="13.28515625" bestFit="1" customWidth="1"/>
    <col min="101" max="101" width="14.7109375" bestFit="1" customWidth="1"/>
    <col min="102" max="102" width="14.28515625" hidden="1" customWidth="1"/>
    <col min="103" max="103" width="15.85546875" hidden="1" customWidth="1"/>
    <col min="104" max="104" width="5.140625" bestFit="1" customWidth="1"/>
    <col min="106" max="106" width="10.42578125" bestFit="1" customWidth="1"/>
    <col min="107" max="107" width="14" bestFit="1" customWidth="1"/>
    <col min="108" max="108" width="10.7109375" hidden="1" customWidth="1"/>
    <col min="109" max="109" width="11.140625" hidden="1" customWidth="1"/>
    <col min="110" max="110" width="12.7109375" hidden="1" customWidth="1"/>
    <col min="111" max="111" width="17.28515625" bestFit="1" customWidth="1"/>
    <col min="112" max="112" width="11.85546875" bestFit="1" customWidth="1"/>
    <col min="113" max="113" width="11.42578125" bestFit="1" customWidth="1"/>
    <col min="114" max="114" width="14.7109375" bestFit="1" customWidth="1"/>
    <col min="115" max="115" width="13.28515625" bestFit="1" customWidth="1"/>
    <col min="116" max="116" width="14.7109375" bestFit="1" customWidth="1"/>
    <col min="117" max="117" width="14.28515625" hidden="1" customWidth="1"/>
    <col min="118" max="118" width="15.85546875" hidden="1" customWidth="1"/>
    <col min="119" max="119" width="5.140625" bestFit="1" customWidth="1"/>
    <col min="121" max="121" width="10.42578125" bestFit="1" customWidth="1"/>
    <col min="122" max="122" width="14" bestFit="1" customWidth="1"/>
    <col min="123" max="123" width="10.7109375" hidden="1" customWidth="1"/>
    <col min="124" max="124" width="11.140625" hidden="1" customWidth="1"/>
    <col min="125" max="125" width="12.7109375" hidden="1" customWidth="1"/>
    <col min="126" max="126" width="17.28515625" bestFit="1" customWidth="1"/>
    <col min="127" max="127" width="11.85546875" bestFit="1" customWidth="1"/>
    <col min="128" max="128" width="11.42578125" bestFit="1" customWidth="1"/>
    <col min="129" max="129" width="14.7109375" bestFit="1" customWidth="1"/>
    <col min="130" max="130" width="13.28515625" bestFit="1" customWidth="1"/>
    <col min="131" max="131" width="14.7109375" bestFit="1" customWidth="1"/>
    <col min="132" max="132" width="14.28515625" hidden="1" customWidth="1"/>
    <col min="133" max="133" width="15.85546875" hidden="1" customWidth="1"/>
    <col min="134" max="134" width="5.140625" bestFit="1" customWidth="1"/>
    <col min="136" max="136" width="10.42578125" bestFit="1" customWidth="1"/>
    <col min="137" max="137" width="14" bestFit="1" customWidth="1"/>
    <col min="138" max="138" width="10.7109375" hidden="1" customWidth="1"/>
    <col min="139" max="139" width="11.140625" hidden="1" customWidth="1"/>
    <col min="140" max="140" width="12.7109375" hidden="1" customWidth="1"/>
    <col min="141" max="141" width="17.28515625" bestFit="1" customWidth="1"/>
    <col min="142" max="142" width="11.85546875" bestFit="1" customWidth="1"/>
    <col min="143" max="143" width="11.42578125" bestFit="1" customWidth="1"/>
    <col min="144" max="144" width="14.7109375" bestFit="1" customWidth="1"/>
    <col min="145" max="145" width="13.28515625" bestFit="1" customWidth="1"/>
    <col min="146" max="146" width="14.7109375" bestFit="1" customWidth="1"/>
    <col min="147" max="147" width="14.28515625" hidden="1" customWidth="1"/>
    <col min="148" max="148" width="15.85546875" hidden="1" customWidth="1"/>
    <col min="149" max="149" width="5.140625" bestFit="1" customWidth="1"/>
  </cols>
  <sheetData>
    <row r="1" spans="1:149" s="10" customFormat="1" x14ac:dyDescent="0.25">
      <c r="A1" s="10" t="s">
        <v>106</v>
      </c>
      <c r="B1" s="71">
        <f ca="1">+I3+X3+AM3+BB3+BQ3+CF3+CU3+DJ3+DY3+EN3</f>
        <v>-2.1074601688836743</v>
      </c>
    </row>
    <row r="2" spans="1:149" s="10" customFormat="1" x14ac:dyDescent="0.25">
      <c r="A2" s="74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</row>
    <row r="3" spans="1:149" s="10" customFormat="1" x14ac:dyDescent="0.25">
      <c r="A3" s="10" t="s">
        <v>116</v>
      </c>
      <c r="B3" s="10" t="s">
        <v>117</v>
      </c>
      <c r="F3" s="10" t="s">
        <v>118</v>
      </c>
      <c r="G3" s="72">
        <f>COUNTA(B6:B36)</f>
        <v>9</v>
      </c>
      <c r="H3" s="10" t="s">
        <v>119</v>
      </c>
      <c r="I3" s="73">
        <f ca="1">INDEX(K5:K36,G3 + 1)-(INDEX(F5:$F$36,G3+ 1) * '3.Vehicles'!E2)- IF(INDIRECT("G3") &gt; 1, INDIRECT("'3.Vehicles'!D2"), 0)</f>
        <v>-0.53675832901642595</v>
      </c>
      <c r="P3" s="10" t="s">
        <v>116</v>
      </c>
      <c r="Q3" s="10" t="s">
        <v>120</v>
      </c>
      <c r="U3" s="10" t="s">
        <v>118</v>
      </c>
      <c r="V3" s="72">
        <f>COUNTA(Q6:Q36)</f>
        <v>4</v>
      </c>
      <c r="W3" s="10" t="s">
        <v>119</v>
      </c>
      <c r="X3" s="73">
        <f ca="1">INDEX(Z5:Z36,V3 + 1)-(INDEX(U5:$U$36,V3+ 1) * '3.Vehicles'!E2)- IF(INDIRECT("V3") &gt; 1, INDIRECT("'3.Vehicles'!D2"), 0)</f>
        <v>-0.24014905852863958</v>
      </c>
      <c r="AE3" s="10" t="s">
        <v>116</v>
      </c>
      <c r="AF3" s="10" t="s">
        <v>121</v>
      </c>
      <c r="AJ3" s="10" t="s">
        <v>118</v>
      </c>
      <c r="AK3" s="72">
        <f>COUNTA(AF6:AF36)</f>
        <v>9</v>
      </c>
      <c r="AL3" s="10" t="s">
        <v>119</v>
      </c>
      <c r="AM3" s="73">
        <f ca="1">INDEX(AO5:AO36,AK3 + 1)-(INDEX(AJ5:$AJ$36,AK3+ 1) * '3.Vehicles'!E2)- IF(INDIRECT("AK3") &gt; 1, INDIRECT("'3.Vehicles'!D2"), 0)</f>
        <v>-0.42204839127293597</v>
      </c>
      <c r="AT3" s="10" t="s">
        <v>116</v>
      </c>
      <c r="AU3" s="10" t="s">
        <v>122</v>
      </c>
      <c r="AY3" s="10" t="s">
        <v>118</v>
      </c>
      <c r="AZ3" s="72">
        <f>COUNTA(AU6:AU36)</f>
        <v>5</v>
      </c>
      <c r="BA3" s="10" t="s">
        <v>119</v>
      </c>
      <c r="BB3" s="73">
        <f ca="1">INDEX(BD5:BD36,AZ3 + 1)-(INDEX(AY5:$AY$36,AZ3+ 1) * '3.Vehicles'!E2)- IF(INDIRECT("AZ3") &gt; 1, INDIRECT("'3.Vehicles'!D2"), 0)</f>
        <v>-0.29567345179089738</v>
      </c>
      <c r="BI3" s="10" t="s">
        <v>116</v>
      </c>
      <c r="BJ3" s="10" t="s">
        <v>123</v>
      </c>
      <c r="BN3" s="10" t="s">
        <v>118</v>
      </c>
      <c r="BO3" s="72">
        <f>COUNTA(BJ6:BJ36)</f>
        <v>6</v>
      </c>
      <c r="BP3" s="10" t="s">
        <v>119</v>
      </c>
      <c r="BQ3" s="73">
        <f ca="1">INDEX(BS5:BS36,BO3 + 1)-(INDEX(BN5:$BN$36,BO3+ 1) * '3.Vehicles'!E2)- IF(INDIRECT("BO3") &gt; 1, INDIRECT("'3.Vehicles'!D2"), 0)</f>
        <v>-0.47082827539088767</v>
      </c>
      <c r="BX3" s="10" t="s">
        <v>116</v>
      </c>
      <c r="BY3" s="10" t="s">
        <v>124</v>
      </c>
      <c r="CC3" s="10" t="s">
        <v>118</v>
      </c>
      <c r="CD3" s="72">
        <f>COUNTA(BY6:BY36)</f>
        <v>3</v>
      </c>
      <c r="CE3" s="10" t="s">
        <v>119</v>
      </c>
      <c r="CF3" s="73">
        <f ca="1">INDEX(CH5:CH36,CD3 + 1)-(INDEX(CC5:$CC$36,CD3+ 1) * '3.Vehicles'!E2)- IF(INDIRECT("CD3") &gt; 1, INDIRECT("'3.Vehicles'!D2"), 0)</f>
        <v>-0.14200266288388794</v>
      </c>
      <c r="CM3" s="10" t="s">
        <v>116</v>
      </c>
      <c r="CN3" s="10" t="s">
        <v>125</v>
      </c>
      <c r="CR3" s="10" t="s">
        <v>118</v>
      </c>
      <c r="CS3" s="72">
        <f>COUNTA(CN6:CN36)</f>
        <v>0</v>
      </c>
      <c r="CT3" s="10" t="s">
        <v>119</v>
      </c>
      <c r="CU3" s="73">
        <f ca="1">INDEX(CW5:CW36,CS3 + 1)-(INDEX(CR5:$CR$36,CS3+ 1) * '3.Vehicles'!E2)- IF(INDIRECT("CS3") &gt; 1, INDIRECT("'3.Vehicles'!D2"), 0)</f>
        <v>0</v>
      </c>
      <c r="DB3" s="10" t="s">
        <v>116</v>
      </c>
      <c r="DC3" s="10" t="s">
        <v>126</v>
      </c>
      <c r="DG3" s="10" t="s">
        <v>118</v>
      </c>
      <c r="DH3" s="72">
        <f>COUNTA(DC6:DC36)</f>
        <v>0</v>
      </c>
      <c r="DI3" s="10" t="s">
        <v>119</v>
      </c>
      <c r="DJ3" s="73">
        <f ca="1">INDEX(DL5:DL36,DH3 + 1)-(INDEX(DG5:$DG$36,DH3+ 1) * '3.Vehicles'!E2)- IF(INDIRECT("DH3") &gt; 1, INDIRECT("'3.Vehicles'!D2"), 0)</f>
        <v>0</v>
      </c>
      <c r="DQ3" s="10" t="s">
        <v>116</v>
      </c>
      <c r="DR3" s="10" t="s">
        <v>127</v>
      </c>
      <c r="DV3" s="10" t="s">
        <v>118</v>
      </c>
      <c r="DW3" s="72">
        <f>COUNTA(DR6:DR36)</f>
        <v>0</v>
      </c>
      <c r="DX3" s="10" t="s">
        <v>119</v>
      </c>
      <c r="DY3" s="73">
        <f ca="1">INDEX(EA5:EA36,DW3 + 1)-(INDEX(DV5:$DV$36,DW3+ 1) * '3.Vehicles'!E2)- IF(INDIRECT("DW3") &gt; 1, INDIRECT("'3.Vehicles'!D2"), 0)</f>
        <v>0</v>
      </c>
      <c r="EF3" s="10" t="s">
        <v>116</v>
      </c>
      <c r="EG3" s="10" t="s">
        <v>128</v>
      </c>
      <c r="EK3" s="10" t="s">
        <v>118</v>
      </c>
      <c r="EL3" s="72">
        <f>COUNTA(EG6:EG36)</f>
        <v>0</v>
      </c>
      <c r="EM3" s="10" t="s">
        <v>119</v>
      </c>
      <c r="EN3" s="73">
        <f ca="1">INDEX(EP5:EP36,EL3 + 1)-(INDEX(EK5:$EK$36,EL3+ 1) * '3.Vehicles'!E2)- IF(INDIRECT("EL3") &gt; 1, INDIRECT("'3.Vehicles'!D2"), 0)</f>
        <v>0</v>
      </c>
    </row>
    <row r="4" spans="1:149" s="10" customFormat="1" x14ac:dyDescent="0.25">
      <c r="A4" s="10" t="s">
        <v>107</v>
      </c>
      <c r="B4" s="10" t="s">
        <v>108</v>
      </c>
      <c r="C4" s="10" t="s">
        <v>43</v>
      </c>
      <c r="D4" s="10" t="s">
        <v>46</v>
      </c>
      <c r="E4" s="10" t="s">
        <v>47</v>
      </c>
      <c r="F4" s="10" t="s">
        <v>109</v>
      </c>
      <c r="G4" s="10" t="s">
        <v>110</v>
      </c>
      <c r="H4" s="10" t="s">
        <v>111</v>
      </c>
      <c r="I4" s="10" t="s">
        <v>112</v>
      </c>
      <c r="J4" s="10" t="s">
        <v>113</v>
      </c>
      <c r="K4" s="10" t="s">
        <v>114</v>
      </c>
      <c r="L4" s="10" t="s">
        <v>52</v>
      </c>
      <c r="M4" s="10" t="s">
        <v>53</v>
      </c>
      <c r="N4" s="10" t="s">
        <v>115</v>
      </c>
      <c r="P4" s="10" t="s">
        <v>107</v>
      </c>
      <c r="Q4" s="10" t="s">
        <v>108</v>
      </c>
      <c r="R4" s="10" t="s">
        <v>43</v>
      </c>
      <c r="S4" s="10" t="s">
        <v>46</v>
      </c>
      <c r="T4" s="10" t="s">
        <v>47</v>
      </c>
      <c r="U4" s="10" t="s">
        <v>109</v>
      </c>
      <c r="V4" s="10" t="s">
        <v>110</v>
      </c>
      <c r="W4" s="10" t="s">
        <v>111</v>
      </c>
      <c r="X4" s="10" t="s">
        <v>112</v>
      </c>
      <c r="Y4" s="10" t="s">
        <v>113</v>
      </c>
      <c r="Z4" s="10" t="s">
        <v>114</v>
      </c>
      <c r="AA4" s="10" t="s">
        <v>52</v>
      </c>
      <c r="AB4" s="10" t="s">
        <v>53</v>
      </c>
      <c r="AC4" s="10" t="s">
        <v>115</v>
      </c>
      <c r="AE4" s="10" t="s">
        <v>107</v>
      </c>
      <c r="AF4" s="10" t="s">
        <v>108</v>
      </c>
      <c r="AG4" s="10" t="s">
        <v>43</v>
      </c>
      <c r="AH4" s="10" t="s">
        <v>46</v>
      </c>
      <c r="AI4" s="10" t="s">
        <v>47</v>
      </c>
      <c r="AJ4" s="10" t="s">
        <v>109</v>
      </c>
      <c r="AK4" s="10" t="s">
        <v>110</v>
      </c>
      <c r="AL4" s="10" t="s">
        <v>111</v>
      </c>
      <c r="AM4" s="10" t="s">
        <v>112</v>
      </c>
      <c r="AN4" s="10" t="s">
        <v>113</v>
      </c>
      <c r="AO4" s="10" t="s">
        <v>114</v>
      </c>
      <c r="AP4" s="10" t="s">
        <v>52</v>
      </c>
      <c r="AQ4" s="10" t="s">
        <v>53</v>
      </c>
      <c r="AR4" s="10" t="s">
        <v>115</v>
      </c>
      <c r="AT4" s="10" t="s">
        <v>107</v>
      </c>
      <c r="AU4" s="10" t="s">
        <v>108</v>
      </c>
      <c r="AV4" s="10" t="s">
        <v>43</v>
      </c>
      <c r="AW4" s="10" t="s">
        <v>46</v>
      </c>
      <c r="AX4" s="10" t="s">
        <v>47</v>
      </c>
      <c r="AY4" s="10" t="s">
        <v>109</v>
      </c>
      <c r="AZ4" s="10" t="s">
        <v>110</v>
      </c>
      <c r="BA4" s="10" t="s">
        <v>111</v>
      </c>
      <c r="BB4" s="10" t="s">
        <v>112</v>
      </c>
      <c r="BC4" s="10" t="s">
        <v>113</v>
      </c>
      <c r="BD4" s="10" t="s">
        <v>114</v>
      </c>
      <c r="BE4" s="10" t="s">
        <v>52</v>
      </c>
      <c r="BF4" s="10" t="s">
        <v>53</v>
      </c>
      <c r="BG4" s="10" t="s">
        <v>115</v>
      </c>
      <c r="BI4" s="10" t="s">
        <v>107</v>
      </c>
      <c r="BJ4" s="10" t="s">
        <v>108</v>
      </c>
      <c r="BK4" s="10" t="s">
        <v>43</v>
      </c>
      <c r="BL4" s="10" t="s">
        <v>46</v>
      </c>
      <c r="BM4" s="10" t="s">
        <v>47</v>
      </c>
      <c r="BN4" s="10" t="s">
        <v>109</v>
      </c>
      <c r="BO4" s="10" t="s">
        <v>110</v>
      </c>
      <c r="BP4" s="10" t="s">
        <v>111</v>
      </c>
      <c r="BQ4" s="10" t="s">
        <v>112</v>
      </c>
      <c r="BR4" s="10" t="s">
        <v>113</v>
      </c>
      <c r="BS4" s="10" t="s">
        <v>114</v>
      </c>
      <c r="BT4" s="10" t="s">
        <v>52</v>
      </c>
      <c r="BU4" s="10" t="s">
        <v>53</v>
      </c>
      <c r="BV4" s="10" t="s">
        <v>115</v>
      </c>
      <c r="BX4" s="10" t="s">
        <v>107</v>
      </c>
      <c r="BY4" s="10" t="s">
        <v>108</v>
      </c>
      <c r="BZ4" s="10" t="s">
        <v>43</v>
      </c>
      <c r="CA4" s="10" t="s">
        <v>46</v>
      </c>
      <c r="CB4" s="10" t="s">
        <v>47</v>
      </c>
      <c r="CC4" s="10" t="s">
        <v>109</v>
      </c>
      <c r="CD4" s="10" t="s">
        <v>110</v>
      </c>
      <c r="CE4" s="10" t="s">
        <v>111</v>
      </c>
      <c r="CF4" s="10" t="s">
        <v>112</v>
      </c>
      <c r="CG4" s="10" t="s">
        <v>113</v>
      </c>
      <c r="CH4" s="10" t="s">
        <v>114</v>
      </c>
      <c r="CI4" s="10" t="s">
        <v>52</v>
      </c>
      <c r="CJ4" s="10" t="s">
        <v>53</v>
      </c>
      <c r="CK4" s="10" t="s">
        <v>115</v>
      </c>
      <c r="CM4" s="10" t="s">
        <v>107</v>
      </c>
      <c r="CN4" s="10" t="s">
        <v>108</v>
      </c>
      <c r="CO4" s="10" t="s">
        <v>43</v>
      </c>
      <c r="CP4" s="10" t="s">
        <v>46</v>
      </c>
      <c r="CQ4" s="10" t="s">
        <v>47</v>
      </c>
      <c r="CR4" s="10" t="s">
        <v>109</v>
      </c>
      <c r="CS4" s="10" t="s">
        <v>110</v>
      </c>
      <c r="CT4" s="10" t="s">
        <v>111</v>
      </c>
      <c r="CU4" s="10" t="s">
        <v>112</v>
      </c>
      <c r="CV4" s="10" t="s">
        <v>113</v>
      </c>
      <c r="CW4" s="10" t="s">
        <v>114</v>
      </c>
      <c r="CX4" s="10" t="s">
        <v>52</v>
      </c>
      <c r="CY4" s="10" t="s">
        <v>53</v>
      </c>
      <c r="CZ4" s="10" t="s">
        <v>115</v>
      </c>
      <c r="DB4" s="10" t="s">
        <v>107</v>
      </c>
      <c r="DC4" s="10" t="s">
        <v>108</v>
      </c>
      <c r="DD4" s="10" t="s">
        <v>43</v>
      </c>
      <c r="DE4" s="10" t="s">
        <v>46</v>
      </c>
      <c r="DF4" s="10" t="s">
        <v>47</v>
      </c>
      <c r="DG4" s="10" t="s">
        <v>109</v>
      </c>
      <c r="DH4" s="10" t="s">
        <v>110</v>
      </c>
      <c r="DI4" s="10" t="s">
        <v>111</v>
      </c>
      <c r="DJ4" s="10" t="s">
        <v>112</v>
      </c>
      <c r="DK4" s="10" t="s">
        <v>113</v>
      </c>
      <c r="DL4" s="10" t="s">
        <v>114</v>
      </c>
      <c r="DM4" s="10" t="s">
        <v>52</v>
      </c>
      <c r="DN4" s="10" t="s">
        <v>53</v>
      </c>
      <c r="DO4" s="10" t="s">
        <v>115</v>
      </c>
      <c r="DQ4" s="10" t="s">
        <v>107</v>
      </c>
      <c r="DR4" s="10" t="s">
        <v>108</v>
      </c>
      <c r="DS4" s="10" t="s">
        <v>43</v>
      </c>
      <c r="DT4" s="10" t="s">
        <v>46</v>
      </c>
      <c r="DU4" s="10" t="s">
        <v>47</v>
      </c>
      <c r="DV4" s="10" t="s">
        <v>109</v>
      </c>
      <c r="DW4" s="10" t="s">
        <v>110</v>
      </c>
      <c r="DX4" s="10" t="s">
        <v>111</v>
      </c>
      <c r="DY4" s="10" t="s">
        <v>112</v>
      </c>
      <c r="DZ4" s="10" t="s">
        <v>113</v>
      </c>
      <c r="EA4" s="10" t="s">
        <v>114</v>
      </c>
      <c r="EB4" s="10" t="s">
        <v>52</v>
      </c>
      <c r="EC4" s="10" t="s">
        <v>53</v>
      </c>
      <c r="ED4" s="10" t="s">
        <v>115</v>
      </c>
      <c r="EF4" s="10" t="s">
        <v>107</v>
      </c>
      <c r="EG4" s="10" t="s">
        <v>108</v>
      </c>
      <c r="EH4" s="10" t="s">
        <v>43</v>
      </c>
      <c r="EI4" s="10" t="s">
        <v>46</v>
      </c>
      <c r="EJ4" s="10" t="s">
        <v>47</v>
      </c>
      <c r="EK4" s="10" t="s">
        <v>109</v>
      </c>
      <c r="EL4" s="10" t="s">
        <v>110</v>
      </c>
      <c r="EM4" s="10" t="s">
        <v>111</v>
      </c>
      <c r="EN4" s="10" t="s">
        <v>112</v>
      </c>
      <c r="EO4" s="10" t="s">
        <v>113</v>
      </c>
      <c r="EP4" s="10" t="s">
        <v>114</v>
      </c>
      <c r="EQ4" s="10" t="s">
        <v>52</v>
      </c>
      <c r="ER4" s="10" t="s">
        <v>53</v>
      </c>
      <c r="ES4" s="10" t="s">
        <v>115</v>
      </c>
    </row>
    <row r="5" spans="1:149" x14ac:dyDescent="0.25">
      <c r="A5" s="13">
        <v>0</v>
      </c>
      <c r="B5" s="13" t="str">
        <f>'1.Locations'!B2</f>
        <v>Depot</v>
      </c>
      <c r="C5" s="13">
        <f ca="1">IFERROR(MATCH(INDIRECT("B5"),'1.Locations'!B2:B32, 0) - 1," ")</f>
        <v>0</v>
      </c>
      <c r="D5" s="59">
        <f ca="1">IFERROR(IF(ISNUMBER(C5),INDEX('1.Locations'!D2:D32,C5 + 1),NA()),NA())</f>
        <v>35.53</v>
      </c>
      <c r="E5" s="59">
        <f ca="1">IFERROR(IF(ISNUMBER(C5),INDEX('1.Locations'!E2:E32,C5 + 1),NA()),NA())</f>
        <v>35.770000000000003</v>
      </c>
      <c r="F5" s="60">
        <v>0</v>
      </c>
      <c r="G5" s="61">
        <v>0</v>
      </c>
      <c r="H5" s="62"/>
      <c r="I5" s="62">
        <f>'3.Vehicles'!G2</f>
        <v>0.33333333333333331</v>
      </c>
      <c r="J5" s="61">
        <v>0</v>
      </c>
      <c r="K5" s="59">
        <v>0</v>
      </c>
      <c r="L5" s="59">
        <v>0</v>
      </c>
      <c r="M5" s="59">
        <v>0</v>
      </c>
      <c r="N5" s="59">
        <f ca="1">IFERROR(IF(ISNUMBER(C5),SUM(L5:L5) + SUM(M6:M36)," ")," ")</f>
        <v>997.16869838773096</v>
      </c>
      <c r="P5" s="13">
        <v>0</v>
      </c>
      <c r="Q5" s="13" t="str">
        <f>'1.Locations'!B2</f>
        <v>Depot</v>
      </c>
      <c r="R5" s="13">
        <f ca="1">IFERROR(MATCH(INDIRECT("Q5"),'1.Locations'!B2:B32, 0) - 1," ")</f>
        <v>0</v>
      </c>
      <c r="S5" s="59">
        <f ca="1">IFERROR(IF(ISNUMBER(R5),INDEX('1.Locations'!D2:D32,R5 + 1),NA()),NA())</f>
        <v>35.53</v>
      </c>
      <c r="T5" s="59">
        <f ca="1">IFERROR(IF(ISNUMBER(R5),INDEX('1.Locations'!E2:E32,R5 + 1),NA()),NA())</f>
        <v>35.770000000000003</v>
      </c>
      <c r="U5" s="60">
        <v>0</v>
      </c>
      <c r="V5" s="61">
        <v>0</v>
      </c>
      <c r="W5" s="62"/>
      <c r="X5" s="62">
        <f>'3.Vehicles'!G2</f>
        <v>0.33333333333333331</v>
      </c>
      <c r="Y5" s="61">
        <v>0</v>
      </c>
      <c r="Z5" s="59">
        <v>0</v>
      </c>
      <c r="AA5" s="59">
        <v>0</v>
      </c>
      <c r="AB5" s="59">
        <v>0</v>
      </c>
      <c r="AC5" s="59">
        <f ca="1">IFERROR(IF(ISNUMBER(R5),SUM(AA5:AA5) + SUM(AB6:AB36)," ")," ")</f>
        <v>959.73597784571382</v>
      </c>
      <c r="AE5" s="13">
        <v>0</v>
      </c>
      <c r="AF5" s="13" t="str">
        <f>'1.Locations'!B2</f>
        <v>Depot</v>
      </c>
      <c r="AG5" s="13">
        <f ca="1">IFERROR(MATCH(INDIRECT("AF5"),'1.Locations'!B2:B32, 0) - 1," ")</f>
        <v>0</v>
      </c>
      <c r="AH5" s="59">
        <f ca="1">IFERROR(IF(ISNUMBER(AG5),INDEX('1.Locations'!D2:D32,AG5 + 1),NA()),NA())</f>
        <v>35.53</v>
      </c>
      <c r="AI5" s="59">
        <f ca="1">IFERROR(IF(ISNUMBER(AG5),INDEX('1.Locations'!E2:E32,AG5 + 1),NA()),NA())</f>
        <v>35.770000000000003</v>
      </c>
      <c r="AJ5" s="60">
        <v>0</v>
      </c>
      <c r="AK5" s="61">
        <v>0</v>
      </c>
      <c r="AL5" s="62"/>
      <c r="AM5" s="62">
        <f>'3.Vehicles'!G2</f>
        <v>0.33333333333333331</v>
      </c>
      <c r="AN5" s="61">
        <v>0</v>
      </c>
      <c r="AO5" s="59">
        <v>0</v>
      </c>
      <c r="AP5" s="59">
        <v>0</v>
      </c>
      <c r="AQ5" s="59">
        <v>0</v>
      </c>
      <c r="AR5" s="59">
        <f ca="1">IFERROR(IF(ISNUMBER(AG5),SUM(AP5:AP5) + SUM(AQ6:AQ36)," ")," ")</f>
        <v>926.66898287875961</v>
      </c>
      <c r="AT5" s="13">
        <v>0</v>
      </c>
      <c r="AU5" s="13" t="str">
        <f>'1.Locations'!B2</f>
        <v>Depot</v>
      </c>
      <c r="AV5" s="13">
        <f ca="1">IFERROR(MATCH(INDIRECT("AU5"),'1.Locations'!B2:B32, 0) - 1," ")</f>
        <v>0</v>
      </c>
      <c r="AW5" s="59">
        <f ca="1">IFERROR(IF(ISNUMBER(AV5),INDEX('1.Locations'!D2:D32,AV5 + 1),NA()),NA())</f>
        <v>35.53</v>
      </c>
      <c r="AX5" s="59">
        <f ca="1">IFERROR(IF(ISNUMBER(AV5),INDEX('1.Locations'!E2:E32,AV5 + 1),NA()),NA())</f>
        <v>35.770000000000003</v>
      </c>
      <c r="AY5" s="60">
        <v>0</v>
      </c>
      <c r="AZ5" s="61">
        <v>0</v>
      </c>
      <c r="BA5" s="62"/>
      <c r="BB5" s="62">
        <f>'3.Vehicles'!G2</f>
        <v>0.33333333333333331</v>
      </c>
      <c r="BC5" s="61">
        <v>0</v>
      </c>
      <c r="BD5" s="59">
        <v>0</v>
      </c>
      <c r="BE5" s="59">
        <v>0</v>
      </c>
      <c r="BF5" s="59">
        <v>0</v>
      </c>
      <c r="BG5" s="59">
        <f ca="1">IFERROR(IF(ISNUMBER(AV5),SUM(BE5:BE5) + SUM(BF6:BF36)," ")," ")</f>
        <v>728.42491096077197</v>
      </c>
      <c r="BI5" s="13">
        <v>0</v>
      </c>
      <c r="BJ5" s="13" t="str">
        <f>'1.Locations'!B2</f>
        <v>Depot</v>
      </c>
      <c r="BK5" s="13">
        <f ca="1">IFERROR(MATCH(INDIRECT("BJ5"),'1.Locations'!B2:B32, 0) - 1," ")</f>
        <v>0</v>
      </c>
      <c r="BL5" s="59">
        <f ca="1">IFERROR(IF(ISNUMBER(BK5),INDEX('1.Locations'!D2:D32,BK5 + 1),NA()),NA())</f>
        <v>35.53</v>
      </c>
      <c r="BM5" s="59">
        <f ca="1">IFERROR(IF(ISNUMBER(BK5),INDEX('1.Locations'!E2:E32,BK5 + 1),NA()),NA())</f>
        <v>35.770000000000003</v>
      </c>
      <c r="BN5" s="60">
        <v>0</v>
      </c>
      <c r="BO5" s="61">
        <v>0</v>
      </c>
      <c r="BP5" s="62"/>
      <c r="BQ5" s="62">
        <f>'3.Vehicles'!G2</f>
        <v>0.33333333333333331</v>
      </c>
      <c r="BR5" s="61">
        <v>0</v>
      </c>
      <c r="BS5" s="59">
        <v>0</v>
      </c>
      <c r="BT5" s="59">
        <v>0</v>
      </c>
      <c r="BU5" s="59">
        <v>0</v>
      </c>
      <c r="BV5" s="59">
        <f ca="1">IFERROR(IF(ISNUMBER(BK5),SUM(BT5:BT5) + SUM(BU6:BU36)," ")," ")</f>
        <v>979.75371366195839</v>
      </c>
      <c r="BX5" s="13">
        <v>0</v>
      </c>
      <c r="BY5" s="13" t="str">
        <f>'1.Locations'!B2</f>
        <v>Depot</v>
      </c>
      <c r="BZ5" s="13">
        <f ca="1">IFERROR(MATCH(INDIRECT("BY5"),'1.Locations'!B2:B32, 0) - 1," ")</f>
        <v>0</v>
      </c>
      <c r="CA5" s="59">
        <f ca="1">IFERROR(IF(ISNUMBER(BZ5),INDEX('1.Locations'!D2:D32,BZ5 + 1),NA()),NA())</f>
        <v>35.53</v>
      </c>
      <c r="CB5" s="59">
        <f ca="1">IFERROR(IF(ISNUMBER(BZ5),INDEX('1.Locations'!E2:E32,BZ5 + 1),NA()),NA())</f>
        <v>35.770000000000003</v>
      </c>
      <c r="CC5" s="60">
        <v>0</v>
      </c>
      <c r="CD5" s="61">
        <v>0</v>
      </c>
      <c r="CE5" s="62"/>
      <c r="CF5" s="62">
        <f>'3.Vehicles'!G2</f>
        <v>0.33333333333333331</v>
      </c>
      <c r="CG5" s="61">
        <v>0</v>
      </c>
      <c r="CH5" s="59">
        <v>0</v>
      </c>
      <c r="CI5" s="59">
        <v>0</v>
      </c>
      <c r="CJ5" s="59">
        <v>0</v>
      </c>
      <c r="CK5" s="59">
        <f ca="1">IFERROR(IF(ISNUMBER(BZ5),SUM(CI5:CI5) + SUM(CJ6:CJ36)," ")," ")</f>
        <v>595.8575396492256</v>
      </c>
      <c r="CM5" s="13">
        <v>0</v>
      </c>
      <c r="CN5" s="13" t="str">
        <f>'1.Locations'!B2</f>
        <v>Depot</v>
      </c>
      <c r="CO5" s="13">
        <f ca="1">IFERROR(MATCH(INDIRECT("CN5"),'1.Locations'!B2:B32, 0) - 1," ")</f>
        <v>0</v>
      </c>
      <c r="CP5" s="59">
        <f ca="1">IFERROR(IF(ISNUMBER(CO5),INDEX('1.Locations'!D2:D32,CO5 + 1),NA()),NA())</f>
        <v>35.53</v>
      </c>
      <c r="CQ5" s="59">
        <f ca="1">IFERROR(IF(ISNUMBER(CO5),INDEX('1.Locations'!E2:E32,CO5 + 1),NA()),NA())</f>
        <v>35.770000000000003</v>
      </c>
      <c r="CR5" s="60">
        <v>0</v>
      </c>
      <c r="CS5" s="61">
        <v>0</v>
      </c>
      <c r="CT5" s="62"/>
      <c r="CU5" s="62">
        <f>'3.Vehicles'!G2</f>
        <v>0.33333333333333331</v>
      </c>
      <c r="CV5" s="61">
        <v>0</v>
      </c>
      <c r="CW5" s="59">
        <v>0</v>
      </c>
      <c r="CX5" s="59">
        <v>0</v>
      </c>
      <c r="CY5" s="59">
        <v>0</v>
      </c>
      <c r="CZ5" s="59">
        <f ca="1">IFERROR(IF(ISNUMBER(CO5),SUM(CX5:CX5) + SUM(CY6:CY36)," ")," ")</f>
        <v>0</v>
      </c>
      <c r="DB5" s="13">
        <v>0</v>
      </c>
      <c r="DC5" s="13" t="str">
        <f>'1.Locations'!B2</f>
        <v>Depot</v>
      </c>
      <c r="DD5" s="13">
        <f ca="1">IFERROR(MATCH(INDIRECT("DC5"),'1.Locations'!B2:B32, 0) - 1," ")</f>
        <v>0</v>
      </c>
      <c r="DE5" s="59">
        <f ca="1">IFERROR(IF(ISNUMBER(DD5),INDEX('1.Locations'!D2:D32,DD5 + 1),NA()),NA())</f>
        <v>35.53</v>
      </c>
      <c r="DF5" s="59">
        <f ca="1">IFERROR(IF(ISNUMBER(DD5),INDEX('1.Locations'!E2:E32,DD5 + 1),NA()),NA())</f>
        <v>35.770000000000003</v>
      </c>
      <c r="DG5" s="60">
        <v>0</v>
      </c>
      <c r="DH5" s="61">
        <v>0</v>
      </c>
      <c r="DI5" s="62"/>
      <c r="DJ5" s="62">
        <f>'3.Vehicles'!G2</f>
        <v>0.33333333333333331</v>
      </c>
      <c r="DK5" s="61">
        <v>0</v>
      </c>
      <c r="DL5" s="59">
        <v>0</v>
      </c>
      <c r="DM5" s="59">
        <v>0</v>
      </c>
      <c r="DN5" s="59">
        <v>0</v>
      </c>
      <c r="DO5" s="59">
        <f ca="1">IFERROR(IF(ISNUMBER(DD5),SUM(DM5:DM5) + SUM(DN6:DN36)," ")," ")</f>
        <v>0</v>
      </c>
      <c r="DQ5" s="13">
        <v>0</v>
      </c>
      <c r="DR5" s="13" t="str">
        <f>'1.Locations'!B2</f>
        <v>Depot</v>
      </c>
      <c r="DS5" s="13">
        <f ca="1">IFERROR(MATCH(INDIRECT("DR5"),'1.Locations'!B2:B32, 0) - 1," ")</f>
        <v>0</v>
      </c>
      <c r="DT5" s="59">
        <f ca="1">IFERROR(IF(ISNUMBER(DS5),INDEX('1.Locations'!D2:D32,DS5 + 1),NA()),NA())</f>
        <v>35.53</v>
      </c>
      <c r="DU5" s="59">
        <f ca="1">IFERROR(IF(ISNUMBER(DS5),INDEX('1.Locations'!E2:E32,DS5 + 1),NA()),NA())</f>
        <v>35.770000000000003</v>
      </c>
      <c r="DV5" s="60">
        <v>0</v>
      </c>
      <c r="DW5" s="61">
        <v>0</v>
      </c>
      <c r="DX5" s="62"/>
      <c r="DY5" s="62">
        <f>'3.Vehicles'!G2</f>
        <v>0.33333333333333331</v>
      </c>
      <c r="DZ5" s="61">
        <v>0</v>
      </c>
      <c r="EA5" s="59">
        <v>0</v>
      </c>
      <c r="EB5" s="59">
        <v>0</v>
      </c>
      <c r="EC5" s="59">
        <v>0</v>
      </c>
      <c r="ED5" s="59">
        <f ca="1">IFERROR(IF(ISNUMBER(DS5),SUM(EB5:EB5) + SUM(EC6:EC36)," ")," ")</f>
        <v>0</v>
      </c>
      <c r="EF5" s="13">
        <v>0</v>
      </c>
      <c r="EG5" s="13" t="str">
        <f>'1.Locations'!B2</f>
        <v>Depot</v>
      </c>
      <c r="EH5" s="13">
        <f ca="1">IFERROR(MATCH(INDIRECT("EG5"),'1.Locations'!B2:B32, 0) - 1," ")</f>
        <v>0</v>
      </c>
      <c r="EI5" s="59">
        <f ca="1">IFERROR(IF(ISNUMBER(EH5),INDEX('1.Locations'!D2:D32,EH5 + 1),NA()),NA())</f>
        <v>35.53</v>
      </c>
      <c r="EJ5" s="59">
        <f ca="1">IFERROR(IF(ISNUMBER(EH5),INDEX('1.Locations'!E2:E32,EH5 + 1),NA()),NA())</f>
        <v>35.770000000000003</v>
      </c>
      <c r="EK5" s="60">
        <v>0</v>
      </c>
      <c r="EL5" s="61">
        <v>0</v>
      </c>
      <c r="EM5" s="62"/>
      <c r="EN5" s="62">
        <f>'3.Vehicles'!G2</f>
        <v>0.33333333333333331</v>
      </c>
      <c r="EO5" s="61">
        <v>0</v>
      </c>
      <c r="EP5" s="59">
        <v>0</v>
      </c>
      <c r="EQ5" s="59">
        <v>0</v>
      </c>
      <c r="ER5" s="59">
        <v>0</v>
      </c>
      <c r="ES5" s="59">
        <f ca="1">IFERROR(IF(ISNUMBER(EH5),SUM(EQ5:EQ5) + SUM(ER6:ER36)," ")," ")</f>
        <v>0</v>
      </c>
    </row>
    <row r="6" spans="1:149" x14ac:dyDescent="0.25">
      <c r="A6" s="17">
        <v>1</v>
      </c>
      <c r="B6" s="18" t="s">
        <v>78</v>
      </c>
      <c r="C6" s="67">
        <f ca="1">IFERROR(MATCH(INDIRECT("B6"),'1.Locations'!B2:B32, 0) - 1," ")</f>
        <v>21</v>
      </c>
      <c r="D6" s="67">
        <f ca="1">IFERROR(IF(ISNUMBER(C6),INDEX('1.Locations'!D2:D32,C6 + 1),NA()),NA())</f>
        <v>35.565832999999998</v>
      </c>
      <c r="E6" s="67">
        <f ca="1">IFERROR(IF(ISNUMBER(C6),INDEX('1.Locations'!E2:E32,C6 + 1),NA()),NA())</f>
        <v>35.912778000000003</v>
      </c>
      <c r="F6" s="68">
        <f ca="1">IFERROR(IF(ISNUMBER(C6),INDEX('2.Distances'!C2:C962,C5*31+C6+ 1) +F5," ")," ")</f>
        <v>0.14720584625958208</v>
      </c>
      <c r="G6" s="69">
        <f ca="1">IFERROR(IF(ISNUMBER(C6),INDEX('2.Distances'!D2:D962,C5*31+C6 + 1) +G5," ")," ")</f>
        <v>6.9444444444444447E-4</v>
      </c>
      <c r="H6" s="70">
        <f ca="1">IFERROR(IF(ISNUMBER(C6),INDEX('2.Distances'!D2:D962,C5*31+C6 + 1) +I5," ")," ")</f>
        <v>0.33402777777777776</v>
      </c>
      <c r="I6" s="70">
        <f ca="1">IFERROR(IF(AND(C5&lt;&gt;C6,ISNUMBER(H6)),INDEX('1.Locations'!I2:I32,C6 + 1) + MAX(H6,INDEX('1.Locations'!F2:F32,C6 + 1))," ")," ")</f>
        <v>0.33402777777777776</v>
      </c>
      <c r="J6" s="69">
        <f ca="1">IFERROR(IF(C5 = C6, H6 - I5, I6 - I5)," ")</f>
        <v>6.9444444444444198E-4</v>
      </c>
      <c r="K6" s="67">
        <f ca="1">IFERROR(IF(ISNUMBER(C6),INDEX('1.Locations'!L2:L32,C6 + 1) + K5," ")," ")</f>
        <v>0</v>
      </c>
      <c r="L6" s="67">
        <f ca="1">IFERROR(IF(ISNUMBER(C6),INDEX('1.Locations'!J2:J32,C6 + 1)," ")," ")</f>
        <v>0</v>
      </c>
      <c r="M6" s="67">
        <f ca="1">IFERROR(IF(ISNUMBER(C6),INDEX('1.Locations'!K2:K32,C6 + 1)," ")," ")</f>
        <v>27.341722375147466</v>
      </c>
      <c r="N6" s="67">
        <f ca="1">IFERROR(IF(ISNUMBER(C6),SUM(L5:L6) + SUM(M7:M36)," ")," ")</f>
        <v>969.8269760125836</v>
      </c>
      <c r="P6" s="17">
        <v>1</v>
      </c>
      <c r="Q6" s="18" t="s">
        <v>66</v>
      </c>
      <c r="R6" s="67">
        <f ca="1">IFERROR(MATCH(INDIRECT("Q6"),'1.Locations'!B2:B32, 0) - 1," ")</f>
        <v>9</v>
      </c>
      <c r="S6" s="67">
        <f ca="1">IFERROR(IF(ISNUMBER(R6),INDEX('1.Locations'!D2:D32,R6 + 1),NA()),NA())</f>
        <v>35.585636999999998</v>
      </c>
      <c r="T6" s="67">
        <f ca="1">IFERROR(IF(ISNUMBER(R6),INDEX('1.Locations'!E2:E32,R6 + 1),NA()),NA())</f>
        <v>35.852533999999999</v>
      </c>
      <c r="U6" s="68">
        <f ca="1">IFERROR(IF(ISNUMBER(R6),INDEX('2.Distances'!C2:C962,R5*31+R6+ 1) +U5," ")," ")</f>
        <v>9.9535606317533151E-2</v>
      </c>
      <c r="V6" s="69">
        <f ca="1">IFERROR(IF(ISNUMBER(R6),INDEX('2.Distances'!D2:D962,R5*31+R6 + 1) +V5," ")," ")</f>
        <v>6.9444444444444447E-4</v>
      </c>
      <c r="W6" s="70">
        <f ca="1">IFERROR(IF(ISNUMBER(R6),INDEX('2.Distances'!D2:D962,R5*31+R6 + 1) +X5," ")," ")</f>
        <v>0.33402777777777776</v>
      </c>
      <c r="X6" s="70">
        <f ca="1">IFERROR(IF(AND(R5&lt;&gt;R6,ISNUMBER(W6)),INDEX('1.Locations'!I2:I32,R6 + 1) + MAX(W6,INDEX('1.Locations'!F2:F32,R6 + 1))," ")," ")</f>
        <v>0.33402777777777776</v>
      </c>
      <c r="Y6" s="69">
        <f ca="1">IFERROR(IF(R5 = R6, W6 - X5, X6 - X5)," ")</f>
        <v>6.9444444444444198E-4</v>
      </c>
      <c r="Z6" s="67">
        <f ca="1">IFERROR(IF(ISNUMBER(R6),INDEX('1.Locations'!L2:L32,R6 + 1) + Z5," ")," ")</f>
        <v>0</v>
      </c>
      <c r="AA6" s="67">
        <f ca="1">IFERROR(IF(ISNUMBER(R6),INDEX('1.Locations'!J2:J32,R6 + 1)," ")," ")</f>
        <v>0</v>
      </c>
      <c r="AB6" s="67">
        <f ca="1">IFERROR(IF(ISNUMBER(R6),INDEX('1.Locations'!K2:K32,R6 + 1)," ")," ")</f>
        <v>54.242466245242007</v>
      </c>
      <c r="AC6" s="67">
        <f ca="1">IFERROR(IF(ISNUMBER(R6),SUM(AA5:AA6) + SUM(AB7:AB36)," ")," ")</f>
        <v>905.49351160047183</v>
      </c>
      <c r="AE6" s="17">
        <v>1</v>
      </c>
      <c r="AF6" s="18" t="s">
        <v>65</v>
      </c>
      <c r="AG6" s="67">
        <f ca="1">IFERROR(MATCH(INDIRECT("AF6"),'1.Locations'!B2:B32, 0) - 1," ")</f>
        <v>8</v>
      </c>
      <c r="AH6" s="67">
        <f ca="1">IFERROR(IF(ISNUMBER(AG6),INDEX('1.Locations'!D2:D32,AG6 + 1),NA()),NA())</f>
        <v>35.584356999999997</v>
      </c>
      <c r="AI6" s="67">
        <f ca="1">IFERROR(IF(ISNUMBER(AG6),INDEX('1.Locations'!E2:E32,AG6 + 1),NA()),NA())</f>
        <v>35.814360000000001</v>
      </c>
      <c r="AJ6" s="68">
        <f ca="1">IFERROR(IF(ISNUMBER(AG6),INDEX('2.Distances'!C2:C962,AG5*31+AG6+ 1) +AJ5," ")," ")</f>
        <v>7.0160480678223294E-2</v>
      </c>
      <c r="AK6" s="69">
        <f ca="1">IFERROR(IF(ISNUMBER(AG6),INDEX('2.Distances'!D2:D962,AG5*31+AG6 + 1) +AK5," ")," ")</f>
        <v>6.9444444444444447E-4</v>
      </c>
      <c r="AL6" s="70">
        <f ca="1">IFERROR(IF(ISNUMBER(AG6),INDEX('2.Distances'!D2:D962,AG5*31+AG6 + 1) +AM5," ")," ")</f>
        <v>0.33402777777777776</v>
      </c>
      <c r="AM6" s="70">
        <f ca="1">IFERROR(IF(AND(AG5&lt;&gt;AG6,ISNUMBER(AL6)),INDEX('1.Locations'!I2:I32,AG6 + 1) + MAX(AL6,INDEX('1.Locations'!F2:F32,AG6 + 1))," ")," ")</f>
        <v>0.33402777777777776</v>
      </c>
      <c r="AN6" s="69">
        <f ca="1">IFERROR(IF(AG5 = AG6, AL6 - AM5, AM6 - AM5)," ")</f>
        <v>6.9444444444444198E-4</v>
      </c>
      <c r="AO6" s="67">
        <f ca="1">IFERROR(IF(ISNUMBER(AG6),INDEX('1.Locations'!L2:L32,AG6 + 1) + AO5," ")," ")</f>
        <v>0</v>
      </c>
      <c r="AP6" s="67">
        <f ca="1">IFERROR(IF(ISNUMBER(AG6),INDEX('1.Locations'!J2:J32,AG6 + 1)," ")," ")</f>
        <v>0</v>
      </c>
      <c r="AQ6" s="67">
        <f ca="1">IFERROR(IF(ISNUMBER(AG6),INDEX('1.Locations'!K2:K32,AG6 + 1)," ")," ")</f>
        <v>44.932192188222857</v>
      </c>
      <c r="AR6" s="67">
        <f ca="1">IFERROR(IF(ISNUMBER(AG6),SUM(AP5:AP6) + SUM(AQ7:AQ36)," ")," ")</f>
        <v>881.73679069053674</v>
      </c>
      <c r="AT6" s="17">
        <v>1</v>
      </c>
      <c r="AU6" s="18" t="s">
        <v>60</v>
      </c>
      <c r="AV6" s="67">
        <f ca="1">IFERROR(MATCH(INDIRECT("AU6"),'1.Locations'!B2:B32, 0) - 1," ")</f>
        <v>3</v>
      </c>
      <c r="AW6" s="67">
        <f ca="1">IFERROR(IF(ISNUMBER(AV6),INDEX('1.Locations'!D2:D32,AV6 + 1),NA()),NA())</f>
        <v>35.5833333</v>
      </c>
      <c r="AX6" s="67">
        <f ca="1">IFERROR(IF(ISNUMBER(AV6),INDEX('1.Locations'!E2:E32,AV6 + 1),NA()),NA())</f>
        <v>35.783333300000002</v>
      </c>
      <c r="AY6" s="68">
        <f ca="1">IFERROR(IF(ISNUMBER(AV6),INDEX('2.Distances'!C2:C962,AV5*31+AV6+ 1) +AY5," ")," ")</f>
        <v>5.4974701252301673E-2</v>
      </c>
      <c r="AZ6" s="69">
        <f ca="1">IFERROR(IF(ISNUMBER(AV6),INDEX('2.Distances'!D2:D962,AV5*31+AV6 + 1) +AZ5," ")," ")</f>
        <v>6.9444444444444447E-4</v>
      </c>
      <c r="BA6" s="70">
        <f ca="1">IFERROR(IF(ISNUMBER(AV6),INDEX('2.Distances'!D2:D962,AV5*31+AV6 + 1) +BB5," ")," ")</f>
        <v>0.33402777777777776</v>
      </c>
      <c r="BB6" s="70">
        <f ca="1">IFERROR(IF(AND(AV5&lt;&gt;AV6,ISNUMBER(BA6)),INDEX('1.Locations'!I2:I32,AV6 + 1) + MAX(BA6,INDEX('1.Locations'!F2:F32,AV6 + 1))," ")," ")</f>
        <v>0.33402777777777776</v>
      </c>
      <c r="BC6" s="69">
        <f ca="1">IFERROR(IF(AV5 = AV6, BA6 - BB5, BB6 - BB5)," ")</f>
        <v>6.9444444444444198E-4</v>
      </c>
      <c r="BD6" s="67">
        <f ca="1">IFERROR(IF(ISNUMBER(AV6),INDEX('1.Locations'!L2:L32,AV6 + 1) + BD5," ")," ")</f>
        <v>0</v>
      </c>
      <c r="BE6" s="67">
        <f ca="1">IFERROR(IF(ISNUMBER(AV6),INDEX('1.Locations'!J2:J32,AV6 + 1)," ")," ")</f>
        <v>0</v>
      </c>
      <c r="BF6" s="67">
        <f ca="1">IFERROR(IF(ISNUMBER(AV6),INDEX('1.Locations'!K2:K32,AV6 + 1)," ")," ")</f>
        <v>53.432877196805556</v>
      </c>
      <c r="BG6" s="67">
        <f ca="1">IFERROR(IF(ISNUMBER(AV6),SUM(BE5:BE6) + SUM(BF7:BF36)," ")," ")</f>
        <v>674.99203376396645</v>
      </c>
      <c r="BI6" s="17">
        <v>1</v>
      </c>
      <c r="BJ6" s="18" t="s">
        <v>64</v>
      </c>
      <c r="BK6" s="67">
        <f ca="1">IFERROR(MATCH(INDIRECT("BJ6"),'1.Locations'!B2:B32, 0) - 1," ")</f>
        <v>7</v>
      </c>
      <c r="BL6" s="67">
        <f ca="1">IFERROR(IF(ISNUMBER(BK6),INDEX('1.Locations'!D2:D32,BK6 + 1),NA()),NA())</f>
        <v>35.602139999999999</v>
      </c>
      <c r="BM6" s="67">
        <f ca="1">IFERROR(IF(ISNUMBER(BK6),INDEX('1.Locations'!E2:E32,BK6 + 1),NA()),NA())</f>
        <v>35.856622999999999</v>
      </c>
      <c r="BN6" s="68">
        <f ca="1">IFERROR(IF(ISNUMBER(BK6),INDEX('2.Distances'!C2:C962,BK5*31+BK6+ 1) +BN5," ")," ")</f>
        <v>0.11272853999320188</v>
      </c>
      <c r="BO6" s="69">
        <f ca="1">IFERROR(IF(ISNUMBER(BK6),INDEX('2.Distances'!D2:D962,BK5*31+BK6 + 1) +BO5," ")," ")</f>
        <v>6.9444444444444447E-4</v>
      </c>
      <c r="BP6" s="70">
        <f ca="1">IFERROR(IF(ISNUMBER(BK6),INDEX('2.Distances'!D2:D962,BK5*31+BK6 + 1) +BQ5," ")," ")</f>
        <v>0.33402777777777776</v>
      </c>
      <c r="BQ6" s="70">
        <f ca="1">IFERROR(IF(AND(BK5&lt;&gt;BK6,ISNUMBER(BP6)),INDEX('1.Locations'!I2:I32,BK6 + 1) + MAX(BP6,INDEX('1.Locations'!F2:F32,BK6 + 1))," ")," ")</f>
        <v>0.33402777777777776</v>
      </c>
      <c r="BR6" s="69">
        <f ca="1">IFERROR(IF(BK5 = BK6, BP6 - BQ5, BQ6 - BQ5)," ")</f>
        <v>6.9444444444444198E-4</v>
      </c>
      <c r="BS6" s="67">
        <f ca="1">IFERROR(IF(ISNUMBER(BK6),INDEX('1.Locations'!L2:L32,BK6 + 1) + BS5," ")," ")</f>
        <v>0</v>
      </c>
      <c r="BT6" s="67">
        <f ca="1">IFERROR(IF(ISNUMBER(BK6),INDEX('1.Locations'!J2:J32,BK6 + 1)," ")," ")</f>
        <v>0</v>
      </c>
      <c r="BU6" s="67">
        <f ca="1">IFERROR(IF(ISNUMBER(BK6),INDEX('1.Locations'!K2:K32,BK6 + 1)," ")," ")</f>
        <v>351.36164702141838</v>
      </c>
      <c r="BV6" s="67">
        <f ca="1">IFERROR(IF(ISNUMBER(BK6),SUM(BT5:BT6) + SUM(BU7:BU36)," ")," ")</f>
        <v>628.39206664053995</v>
      </c>
      <c r="BX6" s="17">
        <v>1</v>
      </c>
      <c r="BY6" s="18" t="s">
        <v>57</v>
      </c>
      <c r="BZ6" s="67">
        <f ca="1">IFERROR(MATCH(INDIRECT("BY6"),'1.Locations'!B2:B32, 0) - 1," ")</f>
        <v>1</v>
      </c>
      <c r="CA6" s="67">
        <f ca="1">IFERROR(IF(ISNUMBER(BZ6),INDEX('1.Locations'!D2:D32,BZ6 + 1),NA()),NA())</f>
        <v>35.571807</v>
      </c>
      <c r="CB6" s="67">
        <f ca="1">IFERROR(IF(ISNUMBER(BZ6),INDEX('1.Locations'!E2:E32,BZ6 + 1),NA()),NA())</f>
        <v>35.826631999999996</v>
      </c>
      <c r="CC6" s="68">
        <f ca="1">IFERROR(IF(ISNUMBER(BZ6),INDEX('2.Distances'!C2:C962,BZ5*31+BZ6+ 1) +CC5," ")," ")</f>
        <v>7.0391822486700326E-2</v>
      </c>
      <c r="CD6" s="69">
        <f ca="1">IFERROR(IF(ISNUMBER(BZ6),INDEX('2.Distances'!D2:D962,BZ5*31+BZ6 + 1) +CD5," ")," ")</f>
        <v>6.9444444444444447E-4</v>
      </c>
      <c r="CE6" s="70">
        <f ca="1">IFERROR(IF(ISNUMBER(BZ6),INDEX('2.Distances'!D2:D962,BZ5*31+BZ6 + 1) +CF5," ")," ")</f>
        <v>0.33402777777777776</v>
      </c>
      <c r="CF6" s="70">
        <f ca="1">IFERROR(IF(AND(BZ5&lt;&gt;BZ6,ISNUMBER(CE6)),INDEX('1.Locations'!I2:I32,BZ6 + 1) + MAX(CE6,INDEX('1.Locations'!F2:F32,BZ6 + 1))," ")," ")</f>
        <v>0.33402777777777776</v>
      </c>
      <c r="CG6" s="69">
        <f ca="1">IFERROR(IF(BZ5 = BZ6, CE6 - CF5, CF6 - CF5)," ")</f>
        <v>6.9444444444444198E-4</v>
      </c>
      <c r="CH6" s="67">
        <f ca="1">IFERROR(IF(ISNUMBER(BZ6),INDEX('1.Locations'!L2:L32,BZ6 + 1) + CH5," ")," ")</f>
        <v>0</v>
      </c>
      <c r="CI6" s="67">
        <f ca="1">IFERROR(IF(ISNUMBER(BZ6),INDEX('1.Locations'!J2:J32,BZ6 + 1)," ")," ")</f>
        <v>0</v>
      </c>
      <c r="CJ6" s="67">
        <f ca="1">IFERROR(IF(ISNUMBER(BZ6),INDEX('1.Locations'!K2:K32,BZ6 + 1)," ")," ")</f>
        <v>534.32877196805555</v>
      </c>
      <c r="CK6" s="67">
        <f ca="1">IFERROR(IF(ISNUMBER(BZ6),SUM(CI5:CI6) + SUM(CJ7:CJ36)," ")," ")</f>
        <v>61.528767681170038</v>
      </c>
      <c r="CM6" s="17">
        <v>1</v>
      </c>
      <c r="CN6" s="18"/>
      <c r="CO6" s="67" t="str">
        <f ca="1">IFERROR(MATCH(INDIRECT("CN6"),'1.Locations'!B2:B32, 0) - 1," ")</f>
        <v xml:space="preserve"> </v>
      </c>
      <c r="CP6" s="67" t="e">
        <f ca="1">IFERROR(IF(ISNUMBER(CO6),INDEX('1.Locations'!D2:D32,CO6 + 1),NA()),NA())</f>
        <v>#N/A</v>
      </c>
      <c r="CQ6" s="67" t="e">
        <f ca="1">IFERROR(IF(ISNUMBER(CO6),INDEX('1.Locations'!E2:E32,CO6 + 1),NA()),NA())</f>
        <v>#N/A</v>
      </c>
      <c r="CR6" s="68" t="str">
        <f ca="1">IFERROR(IF(ISNUMBER(CO6),INDEX('2.Distances'!C2:C962,CO5*31+CO6+ 1) +CR5," ")," ")</f>
        <v xml:space="preserve"> </v>
      </c>
      <c r="CS6" s="69" t="str">
        <f ca="1">IFERROR(IF(ISNUMBER(CO6),INDEX('2.Distances'!D2:D962,CO5*31+CO6 + 1) +CS5," ")," ")</f>
        <v xml:space="preserve"> </v>
      </c>
      <c r="CT6" s="70" t="str">
        <f ca="1">IFERROR(IF(ISNUMBER(CO6),INDEX('2.Distances'!D2:D962,CO5*31+CO6 + 1) +CU5," ")," ")</f>
        <v xml:space="preserve"> </v>
      </c>
      <c r="CU6" s="70" t="str">
        <f ca="1">IFERROR(IF(AND(CO5&lt;&gt;CO6,ISNUMBER(CT6)),INDEX('1.Locations'!I2:I32,CO6 + 1) + MAX(CT6,INDEX('1.Locations'!F2:F32,CO6 + 1))," ")," ")</f>
        <v xml:space="preserve"> </v>
      </c>
      <c r="CV6" s="69" t="str">
        <f ca="1">IFERROR(IF(CO5 = CO6, CT6 - CU5, CU6 - CU5)," ")</f>
        <v xml:space="preserve"> </v>
      </c>
      <c r="CW6" s="67" t="str">
        <f ca="1">IFERROR(IF(ISNUMBER(CO6),INDEX('1.Locations'!L2:L32,CO6 + 1) + CW5," ")," ")</f>
        <v xml:space="preserve"> </v>
      </c>
      <c r="CX6" s="67" t="str">
        <f ca="1">IFERROR(IF(ISNUMBER(CO6),INDEX('1.Locations'!J2:J32,CO6 + 1)," ")," ")</f>
        <v xml:space="preserve"> </v>
      </c>
      <c r="CY6" s="67" t="str">
        <f ca="1">IFERROR(IF(ISNUMBER(CO6),INDEX('1.Locations'!K2:K32,CO6 + 1)," ")," ")</f>
        <v xml:space="preserve"> </v>
      </c>
      <c r="CZ6" s="67" t="str">
        <f ca="1">IFERROR(IF(ISNUMBER(CO6),SUM(CX5:CX6) + SUM(CY7:CY36)," ")," ")</f>
        <v xml:space="preserve"> </v>
      </c>
      <c r="DB6" s="17">
        <v>1</v>
      </c>
      <c r="DC6" s="18"/>
      <c r="DD6" s="67" t="str">
        <f ca="1">IFERROR(MATCH(INDIRECT("DC6"),'1.Locations'!B2:B32, 0) - 1," ")</f>
        <v xml:space="preserve"> </v>
      </c>
      <c r="DE6" s="67" t="e">
        <f ca="1">IFERROR(IF(ISNUMBER(DD6),INDEX('1.Locations'!D2:D32,DD6 + 1),NA()),NA())</f>
        <v>#N/A</v>
      </c>
      <c r="DF6" s="67" t="e">
        <f ca="1">IFERROR(IF(ISNUMBER(DD6),INDEX('1.Locations'!E2:E32,DD6 + 1),NA()),NA())</f>
        <v>#N/A</v>
      </c>
      <c r="DG6" s="68" t="str">
        <f ca="1">IFERROR(IF(ISNUMBER(DD6),INDEX('2.Distances'!C2:C962,DD5*31+DD6+ 1) +DG5," ")," ")</f>
        <v xml:space="preserve"> </v>
      </c>
      <c r="DH6" s="69" t="str">
        <f ca="1">IFERROR(IF(ISNUMBER(DD6),INDEX('2.Distances'!D2:D962,DD5*31+DD6 + 1) +DH5," ")," ")</f>
        <v xml:space="preserve"> </v>
      </c>
      <c r="DI6" s="70" t="str">
        <f ca="1">IFERROR(IF(ISNUMBER(DD6),INDEX('2.Distances'!D2:D962,DD5*31+DD6 + 1) +DJ5," ")," ")</f>
        <v xml:space="preserve"> </v>
      </c>
      <c r="DJ6" s="70" t="str">
        <f ca="1">IFERROR(IF(AND(DD5&lt;&gt;DD6,ISNUMBER(DI6)),INDEX('1.Locations'!I2:I32,DD6 + 1) + MAX(DI6,INDEX('1.Locations'!F2:F32,DD6 + 1))," ")," ")</f>
        <v xml:space="preserve"> </v>
      </c>
      <c r="DK6" s="69" t="str">
        <f ca="1">IFERROR(IF(DD5 = DD6, DI6 - DJ5, DJ6 - DJ5)," ")</f>
        <v xml:space="preserve"> </v>
      </c>
      <c r="DL6" s="67" t="str">
        <f ca="1">IFERROR(IF(ISNUMBER(DD6),INDEX('1.Locations'!L2:L32,DD6 + 1) + DL5," ")," ")</f>
        <v xml:space="preserve"> </v>
      </c>
      <c r="DM6" s="67" t="str">
        <f ca="1">IFERROR(IF(ISNUMBER(DD6),INDEX('1.Locations'!J2:J32,DD6 + 1)," ")," ")</f>
        <v xml:space="preserve"> </v>
      </c>
      <c r="DN6" s="67" t="str">
        <f ca="1">IFERROR(IF(ISNUMBER(DD6),INDEX('1.Locations'!K2:K32,DD6 + 1)," ")," ")</f>
        <v xml:space="preserve"> </v>
      </c>
      <c r="DO6" s="67" t="str">
        <f ca="1">IFERROR(IF(ISNUMBER(DD6),SUM(DM5:DM6) + SUM(DN7:DN36)," ")," ")</f>
        <v xml:space="preserve"> </v>
      </c>
      <c r="DQ6" s="17">
        <v>1</v>
      </c>
      <c r="DR6" s="18"/>
      <c r="DS6" s="67" t="str">
        <f ca="1">IFERROR(MATCH(INDIRECT("DR6"),'1.Locations'!B2:B32, 0) - 1," ")</f>
        <v xml:space="preserve"> </v>
      </c>
      <c r="DT6" s="67" t="e">
        <f ca="1">IFERROR(IF(ISNUMBER(DS6),INDEX('1.Locations'!D2:D32,DS6 + 1),NA()),NA())</f>
        <v>#N/A</v>
      </c>
      <c r="DU6" s="67" t="e">
        <f ca="1">IFERROR(IF(ISNUMBER(DS6),INDEX('1.Locations'!E2:E32,DS6 + 1),NA()),NA())</f>
        <v>#N/A</v>
      </c>
      <c r="DV6" s="68" t="str">
        <f ca="1">IFERROR(IF(ISNUMBER(DS6),INDEX('2.Distances'!C2:C962,DS5*31+DS6+ 1) +DV5," ")," ")</f>
        <v xml:space="preserve"> </v>
      </c>
      <c r="DW6" s="69" t="str">
        <f ca="1">IFERROR(IF(ISNUMBER(DS6),INDEX('2.Distances'!D2:D962,DS5*31+DS6 + 1) +DW5," ")," ")</f>
        <v xml:space="preserve"> </v>
      </c>
      <c r="DX6" s="70" t="str">
        <f ca="1">IFERROR(IF(ISNUMBER(DS6),INDEX('2.Distances'!D2:D962,DS5*31+DS6 + 1) +DY5," ")," ")</f>
        <v xml:space="preserve"> </v>
      </c>
      <c r="DY6" s="70" t="str">
        <f ca="1">IFERROR(IF(AND(DS5&lt;&gt;DS6,ISNUMBER(DX6)),INDEX('1.Locations'!I2:I32,DS6 + 1) + MAX(DX6,INDEX('1.Locations'!F2:F32,DS6 + 1))," ")," ")</f>
        <v xml:space="preserve"> </v>
      </c>
      <c r="DZ6" s="69" t="str">
        <f ca="1">IFERROR(IF(DS5 = DS6, DX6 - DY5, DY6 - DY5)," ")</f>
        <v xml:space="preserve"> </v>
      </c>
      <c r="EA6" s="67" t="str">
        <f ca="1">IFERROR(IF(ISNUMBER(DS6),INDEX('1.Locations'!L2:L32,DS6 + 1) + EA5," ")," ")</f>
        <v xml:space="preserve"> </v>
      </c>
      <c r="EB6" s="67" t="str">
        <f ca="1">IFERROR(IF(ISNUMBER(DS6),INDEX('1.Locations'!J2:J32,DS6 + 1)," ")," ")</f>
        <v xml:space="preserve"> </v>
      </c>
      <c r="EC6" s="67" t="str">
        <f ca="1">IFERROR(IF(ISNUMBER(DS6),INDEX('1.Locations'!K2:K32,DS6 + 1)," ")," ")</f>
        <v xml:space="preserve"> </v>
      </c>
      <c r="ED6" s="67" t="str">
        <f ca="1">IFERROR(IF(ISNUMBER(DS6),SUM(EB5:EB6) + SUM(EC7:EC36)," ")," ")</f>
        <v xml:space="preserve"> </v>
      </c>
      <c r="EF6" s="17">
        <v>1</v>
      </c>
      <c r="EG6" s="18"/>
      <c r="EH6" s="67" t="str">
        <f ca="1">IFERROR(MATCH(INDIRECT("EG6"),'1.Locations'!B2:B32, 0) - 1," ")</f>
        <v xml:space="preserve"> </v>
      </c>
      <c r="EI6" s="67" t="e">
        <f ca="1">IFERROR(IF(ISNUMBER(EH6),INDEX('1.Locations'!D2:D32,EH6 + 1),NA()),NA())</f>
        <v>#N/A</v>
      </c>
      <c r="EJ6" s="67" t="e">
        <f ca="1">IFERROR(IF(ISNUMBER(EH6),INDEX('1.Locations'!E2:E32,EH6 + 1),NA()),NA())</f>
        <v>#N/A</v>
      </c>
      <c r="EK6" s="68" t="str">
        <f ca="1">IFERROR(IF(ISNUMBER(EH6),INDEX('2.Distances'!C2:C962,EH5*31+EH6+ 1) +EK5," ")," ")</f>
        <v xml:space="preserve"> </v>
      </c>
      <c r="EL6" s="69" t="str">
        <f ca="1">IFERROR(IF(ISNUMBER(EH6),INDEX('2.Distances'!D2:D962,EH5*31+EH6 + 1) +EL5," ")," ")</f>
        <v xml:space="preserve"> </v>
      </c>
      <c r="EM6" s="70" t="str">
        <f ca="1">IFERROR(IF(ISNUMBER(EH6),INDEX('2.Distances'!D2:D962,EH5*31+EH6 + 1) +EN5," ")," ")</f>
        <v xml:space="preserve"> </v>
      </c>
      <c r="EN6" s="70" t="str">
        <f ca="1">IFERROR(IF(AND(EH5&lt;&gt;EH6,ISNUMBER(EM6)),INDEX('1.Locations'!I2:I32,EH6 + 1) + MAX(EM6,INDEX('1.Locations'!F2:F32,EH6 + 1))," ")," ")</f>
        <v xml:space="preserve"> </v>
      </c>
      <c r="EO6" s="69" t="str">
        <f ca="1">IFERROR(IF(EH5 = EH6, EM6 - EN5, EN6 - EN5)," ")</f>
        <v xml:space="preserve"> </v>
      </c>
      <c r="EP6" s="67" t="str">
        <f ca="1">IFERROR(IF(ISNUMBER(EH6),INDEX('1.Locations'!L2:L32,EH6 + 1) + EP5," ")," ")</f>
        <v xml:space="preserve"> </v>
      </c>
      <c r="EQ6" s="67" t="str">
        <f ca="1">IFERROR(IF(ISNUMBER(EH6),INDEX('1.Locations'!J2:J32,EH6 + 1)," ")," ")</f>
        <v xml:space="preserve"> </v>
      </c>
      <c r="ER6" s="67" t="str">
        <f ca="1">IFERROR(IF(ISNUMBER(EH6),INDEX('1.Locations'!K2:K32,EH6 + 1)," ")," ")</f>
        <v xml:space="preserve"> </v>
      </c>
      <c r="ES6" s="67" t="str">
        <f ca="1">IFERROR(IF(ISNUMBER(EH6),SUM(EQ5:EQ6) + SUM(ER7:ER36)," ")," ")</f>
        <v xml:space="preserve"> </v>
      </c>
    </row>
    <row r="7" spans="1:149" x14ac:dyDescent="0.25">
      <c r="A7" s="17">
        <v>2</v>
      </c>
      <c r="B7" s="21" t="s">
        <v>72</v>
      </c>
      <c r="C7" s="67">
        <f ca="1">IFERROR(MATCH(INDIRECT("B7"),'1.Locations'!B2:B32, 0) - 1," ")</f>
        <v>15</v>
      </c>
      <c r="D7" s="67">
        <f ca="1">IFERROR(IF(ISNUMBER(C7),INDEX('1.Locations'!D2:D32,C7 + 1),NA()),NA())</f>
        <v>35.609721999999998</v>
      </c>
      <c r="E7" s="67">
        <f ca="1">IFERROR(IF(ISNUMBER(C7),INDEX('1.Locations'!E2:E32,C7 + 1),NA()),NA())</f>
        <v>35.976666999999999</v>
      </c>
      <c r="F7" s="68">
        <f ca="1">IFERROR(IF(ISNUMBER(C7),INDEX('2.Distances'!C2:C962,C6*31+C7+ 1) +F6," ")," ")</f>
        <v>0.22471744953289535</v>
      </c>
      <c r="G7" s="69">
        <f ca="1">IFERROR(IF(ISNUMBER(C7),INDEX('2.Distances'!D2:D962,C6*31+C7 + 1) +G6," ")," ")</f>
        <v>1.3888888888888889E-3</v>
      </c>
      <c r="H7" s="70">
        <f ca="1">IFERROR(IF(ISNUMBER(C7),INDEX('2.Distances'!D2:D962,C6*31+C7 + 1) +I6," ")," ")</f>
        <v>0.3347222222222222</v>
      </c>
      <c r="I7" s="70">
        <f ca="1">IFERROR(IF(AND(C5&lt;&gt;C7,ISNUMBER(H7)),INDEX('1.Locations'!I2:I32,C7 + 1) + MAX(H7,INDEX('1.Locations'!F2:F32,C7 + 1))," ")," ")</f>
        <v>0.3347222222222222</v>
      </c>
      <c r="J7" s="69">
        <f ca="1">IFERROR(IF(C5 = C7, H7 - I5, I7 - I5)," ")</f>
        <v>1.388888888888884E-3</v>
      </c>
      <c r="K7" s="67">
        <f ca="1">IFERROR(IF(ISNUMBER(C7),INDEX('1.Locations'!L2:L32,C7 + 1) + K6," ")," ")</f>
        <v>0</v>
      </c>
      <c r="L7" s="67">
        <f ca="1">IFERROR(IF(ISNUMBER(C7),INDEX('1.Locations'!J2:J32,C7 + 1)," ")," ")</f>
        <v>0</v>
      </c>
      <c r="M7" s="67">
        <f ca="1">IFERROR(IF(ISNUMBER(C7),INDEX('1.Locations'!K2:K32,C7 + 1)," ")," ")</f>
        <v>193.00039323633504</v>
      </c>
      <c r="N7" s="67">
        <f ca="1">IFERROR(IF(ISNUMBER(C7),SUM(L5:L7) + SUM(M8:M36)," ")," ")</f>
        <v>776.82658277624842</v>
      </c>
      <c r="P7" s="17">
        <v>2</v>
      </c>
      <c r="Q7" s="21" t="s">
        <v>69</v>
      </c>
      <c r="R7" s="67">
        <f ca="1">IFERROR(MATCH(INDIRECT("Q7"),'1.Locations'!B2:B32, 0) - 1," ")</f>
        <v>12</v>
      </c>
      <c r="S7" s="67">
        <f ca="1">IFERROR(IF(ISNUMBER(R7),INDEX('1.Locations'!D2:D32,R7 + 1),NA()),NA())</f>
        <v>35.575277999999997</v>
      </c>
      <c r="T7" s="67">
        <f ca="1">IFERROR(IF(ISNUMBER(R7),INDEX('1.Locations'!E2:E32,R7 + 1),NA()),NA())</f>
        <v>35.869444000000001</v>
      </c>
      <c r="U7" s="68">
        <f ca="1">IFERROR(IF(ISNUMBER(R7),INDEX('2.Distances'!C2:C962,R6*31+R7+ 1) +U6," ")," ")</f>
        <v>0.11936631434826468</v>
      </c>
      <c r="V7" s="69">
        <f ca="1">IFERROR(IF(ISNUMBER(R7),INDEX('2.Distances'!D2:D962,R6*31+R7 + 1) +V6," ")," ")</f>
        <v>1.3888888888888889E-3</v>
      </c>
      <c r="W7" s="70">
        <f ca="1">IFERROR(IF(ISNUMBER(R7),INDEX('2.Distances'!D2:D962,R6*31+R7 + 1) +X6," ")," ")</f>
        <v>0.3347222222222222</v>
      </c>
      <c r="X7" s="70">
        <f ca="1">IFERROR(IF(AND(R5&lt;&gt;R7,ISNUMBER(W7)),INDEX('1.Locations'!I2:I32,R7 + 1) + MAX(W7,INDEX('1.Locations'!F2:F32,R7 + 1))," ")," ")</f>
        <v>0.3347222222222222</v>
      </c>
      <c r="Y7" s="69">
        <f ca="1">IFERROR(IF(R5 = R7, W7 - X5, X7 - X5)," ")</f>
        <v>1.388888888888884E-3</v>
      </c>
      <c r="Z7" s="67">
        <f ca="1">IFERROR(IF(ISNUMBER(R7),INDEX('1.Locations'!L2:L32,R7 + 1) + Z6," ")," ")</f>
        <v>0</v>
      </c>
      <c r="AA7" s="67">
        <f ca="1">IFERROR(IF(ISNUMBER(R7),INDEX('1.Locations'!J2:J32,R7 + 1)," ")," ")</f>
        <v>0</v>
      </c>
      <c r="AB7" s="67">
        <f ca="1">IFERROR(IF(ISNUMBER(R7),INDEX('1.Locations'!K2:K32,R7 + 1)," ")," ")</f>
        <v>829.90169091624057</v>
      </c>
      <c r="AC7" s="67">
        <f ca="1">IFERROR(IF(ISNUMBER(R7),SUM(AA5:AA7) + SUM(AB8:AB36)," ")," ")</f>
        <v>75.591820684231223</v>
      </c>
      <c r="AE7" s="17">
        <v>2</v>
      </c>
      <c r="AF7" s="21" t="s">
        <v>62</v>
      </c>
      <c r="AG7" s="67">
        <f ca="1">IFERROR(MATCH(INDIRECT("AF7"),'1.Locations'!B2:B32, 0) - 1," ")</f>
        <v>5</v>
      </c>
      <c r="AH7" s="67">
        <f ca="1">IFERROR(IF(ISNUMBER(AG7),INDEX('1.Locations'!D2:D32,AG7 + 1),NA()),NA())</f>
        <v>35.620486999999997</v>
      </c>
      <c r="AI7" s="67">
        <f ca="1">IFERROR(IF(ISNUMBER(AG7),INDEX('1.Locations'!E2:E32,AG7 + 1),NA()),NA())</f>
        <v>35.823906000000001</v>
      </c>
      <c r="AJ7" s="68">
        <f ca="1">IFERROR(IF(ISNUMBER(AG7),INDEX('2.Distances'!C2:C962,AG6*31+AG7+ 1) +AJ6," ")," ")</f>
        <v>0.10753029491377984</v>
      </c>
      <c r="AK7" s="69">
        <f ca="1">IFERROR(IF(ISNUMBER(AG7),INDEX('2.Distances'!D2:D962,AG6*31+AG7 + 1) +AK6," ")," ")</f>
        <v>1.3888888888888889E-3</v>
      </c>
      <c r="AL7" s="70">
        <f ca="1">IFERROR(IF(ISNUMBER(AG7),INDEX('2.Distances'!D2:D962,AG6*31+AG7 + 1) +AM6," ")," ")</f>
        <v>0.3347222222222222</v>
      </c>
      <c r="AM7" s="70">
        <f ca="1">IFERROR(IF(AND(AG5&lt;&gt;AG7,ISNUMBER(AL7)),INDEX('1.Locations'!I2:I32,AG7 + 1) + MAX(AL7,INDEX('1.Locations'!F2:F32,AG7 + 1))," ")," ")</f>
        <v>0.3347222222222222</v>
      </c>
      <c r="AN7" s="69">
        <f ca="1">IFERROR(IF(AG5 = AG7, AL7 - AM5, AM7 - AM5)," ")</f>
        <v>1.388888888888884E-3</v>
      </c>
      <c r="AO7" s="67">
        <f ca="1">IFERROR(IF(ISNUMBER(AG7),INDEX('1.Locations'!L2:L32,AG7 + 1) + AO6," ")," ")</f>
        <v>0</v>
      </c>
      <c r="AP7" s="67">
        <f ca="1">IFERROR(IF(ISNUMBER(AG7),INDEX('1.Locations'!J2:J32,AG7 + 1)," ")," ")</f>
        <v>0</v>
      </c>
      <c r="AQ7" s="67">
        <f ca="1">IFERROR(IF(ISNUMBER(AG7),INDEX('1.Locations'!K2:K32,AG7 + 1)," ")," ")</f>
        <v>155.03630277557974</v>
      </c>
      <c r="AR7" s="67">
        <f ca="1">IFERROR(IF(ISNUMBER(AG7),SUM(AP5:AP7) + SUM(AQ8:AQ36)," ")," ")</f>
        <v>726.70048791495697</v>
      </c>
      <c r="AT7" s="17">
        <v>2</v>
      </c>
      <c r="AU7" s="21" t="s">
        <v>59</v>
      </c>
      <c r="AV7" s="67">
        <f ca="1">IFERROR(MATCH(INDIRECT("AU7"),'1.Locations'!B2:B32, 0) - 1," ")</f>
        <v>2</v>
      </c>
      <c r="AW7" s="67">
        <f ca="1">IFERROR(IF(ISNUMBER(AV7),INDEX('1.Locations'!D2:D32,AV7 + 1),NA()),NA())</f>
        <v>35.605404999999998</v>
      </c>
      <c r="AX7" s="67">
        <f ca="1">IFERROR(IF(ISNUMBER(AV7),INDEX('1.Locations'!E2:E32,AV7 + 1),NA()),NA())</f>
        <v>35.791175000000003</v>
      </c>
      <c r="AY7" s="68">
        <f ca="1">IFERROR(IF(ISNUMBER(AV7),INDEX('2.Distances'!C2:C962,AV6*31+AV7+ 1) +AY6," ")," ")</f>
        <v>7.8398027228343395E-2</v>
      </c>
      <c r="AZ7" s="69">
        <f ca="1">IFERROR(IF(ISNUMBER(AV7),INDEX('2.Distances'!D2:D962,AV6*31+AV7 + 1) +AZ6," ")," ")</f>
        <v>1.3888888888888889E-3</v>
      </c>
      <c r="BA7" s="70">
        <f ca="1">IFERROR(IF(ISNUMBER(AV7),INDEX('2.Distances'!D2:D962,AV6*31+AV7 + 1) +BB6," ")," ")</f>
        <v>0.3347222222222222</v>
      </c>
      <c r="BB7" s="70">
        <f ca="1">IFERROR(IF(AND(AV5&lt;&gt;AV7,ISNUMBER(BA7)),INDEX('1.Locations'!I2:I32,AV7 + 1) + MAX(BA7,INDEX('1.Locations'!F2:F32,AV7 + 1))," ")," ")</f>
        <v>0.3347222222222222</v>
      </c>
      <c r="BC7" s="69">
        <f ca="1">IFERROR(IF(AV5 = AV7, BA7 - BB5, BB7 - BB5)," ")</f>
        <v>1.388888888888884E-3</v>
      </c>
      <c r="BD7" s="67">
        <f ca="1">IFERROR(IF(ISNUMBER(AV7),INDEX('1.Locations'!L2:L32,AV7 + 1) + BD6," ")," ")</f>
        <v>0</v>
      </c>
      <c r="BE7" s="67">
        <f ca="1">IFERROR(IF(ISNUMBER(AV7),INDEX('1.Locations'!J2:J32,AV7 + 1)," ")," ")</f>
        <v>0</v>
      </c>
      <c r="BF7" s="67">
        <f ca="1">IFERROR(IF(ISNUMBER(AV7),INDEX('1.Locations'!K2:K32,AV7 + 1)," ")," ")</f>
        <v>128.72465870139521</v>
      </c>
      <c r="BG7" s="67">
        <f ca="1">IFERROR(IF(ISNUMBER(AV7),SUM(BE5:BE7) + SUM(BF8:BF36)," ")," ")</f>
        <v>546.26737506257132</v>
      </c>
      <c r="BI7" s="17">
        <v>2</v>
      </c>
      <c r="BJ7" s="21" t="s">
        <v>84</v>
      </c>
      <c r="BK7" s="67">
        <f ca="1">IFERROR(MATCH(INDIRECT("BJ7"),'1.Locations'!B2:B32, 0) - 1," ")</f>
        <v>27</v>
      </c>
      <c r="BL7" s="67">
        <f ca="1">IFERROR(IF(ISNUMBER(BK7),INDEX('1.Locations'!D2:D32,BK7 + 1),NA()),NA())</f>
        <v>35.618332000000002</v>
      </c>
      <c r="BM7" s="67">
        <f ca="1">IFERROR(IF(ISNUMBER(BK7),INDEX('1.Locations'!E2:E32,BK7 + 1),NA()),NA())</f>
        <v>35.898181999999998</v>
      </c>
      <c r="BN7" s="68">
        <f ca="1">IFERROR(IF(ISNUMBER(BK7),INDEX('2.Distances'!C2:C962,BK6*31+BK7+ 1) +BN6," ")," ")</f>
        <v>0.15733046085990982</v>
      </c>
      <c r="BO7" s="69">
        <f ca="1">IFERROR(IF(ISNUMBER(BK7),INDEX('2.Distances'!D2:D962,BK6*31+BK7 + 1) +BO6," ")," ")</f>
        <v>1.3888888888888889E-3</v>
      </c>
      <c r="BP7" s="70">
        <f ca="1">IFERROR(IF(ISNUMBER(BK7),INDEX('2.Distances'!D2:D962,BK6*31+BK7 + 1) +BQ6," ")," ")</f>
        <v>0.3347222222222222</v>
      </c>
      <c r="BQ7" s="70">
        <f ca="1">IFERROR(IF(AND(BK5&lt;&gt;BK7,ISNUMBER(BP7)),INDEX('1.Locations'!I2:I32,BK7 + 1) + MAX(BP7,INDEX('1.Locations'!F2:F32,BK7 + 1))," ")," ")</f>
        <v>0.3347222222222222</v>
      </c>
      <c r="BR7" s="69">
        <f ca="1">IFERROR(IF(BK5 = BK7, BP7 - BQ5, BQ7 - BQ5)," ")</f>
        <v>1.388888888888884E-3</v>
      </c>
      <c r="BS7" s="67">
        <f ca="1">IFERROR(IF(ISNUMBER(BK7),INDEX('1.Locations'!L2:L32,BK7 + 1) + BS6," ")," ")</f>
        <v>0</v>
      </c>
      <c r="BT7" s="67">
        <f ca="1">IFERROR(IF(ISNUMBER(BK7),INDEX('1.Locations'!J2:J32,BK7 + 1)," ")," ")</f>
        <v>0</v>
      </c>
      <c r="BU7" s="67">
        <f ca="1">IFERROR(IF(ISNUMBER(BK7),INDEX('1.Locations'!K2:K32,BK7 + 1)," ")," ")</f>
        <v>36.90696095076401</v>
      </c>
      <c r="BV7" s="67">
        <f ca="1">IFERROR(IF(ISNUMBER(BK7),SUM(BT5:BT7) + SUM(BU8:BU36)," ")," ")</f>
        <v>591.48510568977599</v>
      </c>
      <c r="BX7" s="17">
        <v>2</v>
      </c>
      <c r="BY7" s="21" t="s">
        <v>63</v>
      </c>
      <c r="BZ7" s="67">
        <f ca="1">IFERROR(MATCH(INDIRECT("BY7"),'1.Locations'!B2:B32, 0) - 1," ")</f>
        <v>6</v>
      </c>
      <c r="CA7" s="67">
        <f ca="1">IFERROR(IF(ISNUMBER(BZ7),INDEX('1.Locations'!D2:D32,BZ7 + 1),NA()),NA())</f>
        <v>35.540709999999997</v>
      </c>
      <c r="CB7" s="67">
        <f ca="1">IFERROR(IF(ISNUMBER(BZ7),INDEX('1.Locations'!E2:E32,BZ7 + 1),NA()),NA())</f>
        <v>35.795267000000003</v>
      </c>
      <c r="CC7" s="68">
        <f ca="1">IFERROR(IF(ISNUMBER(BZ7),INDEX('2.Distances'!C2:C962,BZ6*31+BZ7+ 1) +CC6," ")," ")</f>
        <v>0.11455953279637991</v>
      </c>
      <c r="CD7" s="69">
        <f ca="1">IFERROR(IF(ISNUMBER(BZ7),INDEX('2.Distances'!D2:D962,BZ6*31+BZ7 + 1) +CD6," ")," ")</f>
        <v>1.3888888888888889E-3</v>
      </c>
      <c r="CE7" s="70">
        <f ca="1">IFERROR(IF(ISNUMBER(BZ7),INDEX('2.Distances'!D2:D962,BZ6*31+BZ7 + 1) +CF6," ")," ")</f>
        <v>0.3347222222222222</v>
      </c>
      <c r="CF7" s="70">
        <f ca="1">IFERROR(IF(AND(BZ5&lt;&gt;BZ7,ISNUMBER(CE7)),INDEX('1.Locations'!I2:I32,BZ7 + 1) + MAX(CE7,INDEX('1.Locations'!F2:F32,BZ7 + 1))," ")," ")</f>
        <v>0.3347222222222222</v>
      </c>
      <c r="CG7" s="69">
        <f ca="1">IFERROR(IF(BZ5 = BZ7, CE7 - CF5, CF7 - CF5)," ")</f>
        <v>1.388888888888884E-3</v>
      </c>
      <c r="CH7" s="67">
        <f ca="1">IFERROR(IF(ISNUMBER(BZ7),INDEX('1.Locations'!L2:L32,BZ7 + 1) + CH6," ")," ")</f>
        <v>0</v>
      </c>
      <c r="CI7" s="67">
        <f ca="1">IFERROR(IF(ISNUMBER(BZ7),INDEX('1.Locations'!J2:J32,BZ7 + 1)," ")," ")</f>
        <v>0</v>
      </c>
      <c r="CJ7" s="67">
        <f ca="1">IFERROR(IF(ISNUMBER(BZ7),INDEX('1.Locations'!K2:K32,BZ7 + 1)," ")," ")</f>
        <v>61.528767681170038</v>
      </c>
      <c r="CK7" s="67">
        <f ca="1">IFERROR(IF(ISNUMBER(BZ7),SUM(CI5:CI7) + SUM(CJ8:CJ36)," ")," ")</f>
        <v>0</v>
      </c>
      <c r="CM7" s="17">
        <v>2</v>
      </c>
      <c r="CN7" s="21"/>
      <c r="CO7" s="67" t="str">
        <f ca="1">IFERROR(MATCH(INDIRECT("CN7"),'1.Locations'!B2:B32, 0) - 1," ")</f>
        <v xml:space="preserve"> </v>
      </c>
      <c r="CP7" s="67" t="e">
        <f ca="1">IFERROR(IF(ISNUMBER(CO7),INDEX('1.Locations'!D2:D32,CO7 + 1),NA()),NA())</f>
        <v>#N/A</v>
      </c>
      <c r="CQ7" s="67" t="e">
        <f ca="1">IFERROR(IF(ISNUMBER(CO7),INDEX('1.Locations'!E2:E32,CO7 + 1),NA()),NA())</f>
        <v>#N/A</v>
      </c>
      <c r="CR7" s="68" t="str">
        <f ca="1">IFERROR(IF(ISNUMBER(CO7),INDEX('2.Distances'!C2:C962,CO6*31+CO7+ 1) +CR6," ")," ")</f>
        <v xml:space="preserve"> </v>
      </c>
      <c r="CS7" s="69" t="str">
        <f ca="1">IFERROR(IF(ISNUMBER(CO7),INDEX('2.Distances'!D2:D962,CO6*31+CO7 + 1) +CS6," ")," ")</f>
        <v xml:space="preserve"> </v>
      </c>
      <c r="CT7" s="70" t="str">
        <f ca="1">IFERROR(IF(ISNUMBER(CO7),INDEX('2.Distances'!D2:D962,CO6*31+CO7 + 1) +CU6," ")," ")</f>
        <v xml:space="preserve"> </v>
      </c>
      <c r="CU7" s="70" t="str">
        <f ca="1">IFERROR(IF(AND(CO5&lt;&gt;CO7,ISNUMBER(CT7)),INDEX('1.Locations'!I2:I32,CO7 + 1) + MAX(CT7,INDEX('1.Locations'!F2:F32,CO7 + 1))," ")," ")</f>
        <v xml:space="preserve"> </v>
      </c>
      <c r="CV7" s="69" t="str">
        <f ca="1">IFERROR(IF(CO5 = CO7, CT7 - CU5, CU7 - CU5)," ")</f>
        <v xml:space="preserve"> </v>
      </c>
      <c r="CW7" s="67" t="str">
        <f ca="1">IFERROR(IF(ISNUMBER(CO7),INDEX('1.Locations'!L2:L32,CO7 + 1) + CW6," ")," ")</f>
        <v xml:space="preserve"> </v>
      </c>
      <c r="CX7" s="67" t="str">
        <f ca="1">IFERROR(IF(ISNUMBER(CO7),INDEX('1.Locations'!J2:J32,CO7 + 1)," ")," ")</f>
        <v xml:space="preserve"> </v>
      </c>
      <c r="CY7" s="67" t="str">
        <f ca="1">IFERROR(IF(ISNUMBER(CO7),INDEX('1.Locations'!K2:K32,CO7 + 1)," ")," ")</f>
        <v xml:space="preserve"> </v>
      </c>
      <c r="CZ7" s="67" t="str">
        <f ca="1">IFERROR(IF(ISNUMBER(CO7),SUM(CX5:CX7) + SUM(CY8:CY36)," ")," ")</f>
        <v xml:space="preserve"> </v>
      </c>
      <c r="DB7" s="17">
        <v>2</v>
      </c>
      <c r="DC7" s="21"/>
      <c r="DD7" s="67" t="str">
        <f ca="1">IFERROR(MATCH(INDIRECT("DC7"),'1.Locations'!B2:B32, 0) - 1," ")</f>
        <v xml:space="preserve"> </v>
      </c>
      <c r="DE7" s="67" t="e">
        <f ca="1">IFERROR(IF(ISNUMBER(DD7),INDEX('1.Locations'!D2:D32,DD7 + 1),NA()),NA())</f>
        <v>#N/A</v>
      </c>
      <c r="DF7" s="67" t="e">
        <f ca="1">IFERROR(IF(ISNUMBER(DD7),INDEX('1.Locations'!E2:E32,DD7 + 1),NA()),NA())</f>
        <v>#N/A</v>
      </c>
      <c r="DG7" s="68" t="str">
        <f ca="1">IFERROR(IF(ISNUMBER(DD7),INDEX('2.Distances'!C2:C962,DD6*31+DD7+ 1) +DG6," ")," ")</f>
        <v xml:space="preserve"> </v>
      </c>
      <c r="DH7" s="69" t="str">
        <f ca="1">IFERROR(IF(ISNUMBER(DD7),INDEX('2.Distances'!D2:D962,DD6*31+DD7 + 1) +DH6," ")," ")</f>
        <v xml:space="preserve"> </v>
      </c>
      <c r="DI7" s="70" t="str">
        <f ca="1">IFERROR(IF(ISNUMBER(DD7),INDEX('2.Distances'!D2:D962,DD6*31+DD7 + 1) +DJ6," ")," ")</f>
        <v xml:space="preserve"> </v>
      </c>
      <c r="DJ7" s="70" t="str">
        <f ca="1">IFERROR(IF(AND(DD5&lt;&gt;DD7,ISNUMBER(DI7)),INDEX('1.Locations'!I2:I32,DD7 + 1) + MAX(DI7,INDEX('1.Locations'!F2:F32,DD7 + 1))," ")," ")</f>
        <v xml:space="preserve"> </v>
      </c>
      <c r="DK7" s="69" t="str">
        <f ca="1">IFERROR(IF(DD5 = DD7, DI7 - DJ5, DJ7 - DJ5)," ")</f>
        <v xml:space="preserve"> </v>
      </c>
      <c r="DL7" s="67" t="str">
        <f ca="1">IFERROR(IF(ISNUMBER(DD7),INDEX('1.Locations'!L2:L32,DD7 + 1) + DL6," ")," ")</f>
        <v xml:space="preserve"> </v>
      </c>
      <c r="DM7" s="67" t="str">
        <f ca="1">IFERROR(IF(ISNUMBER(DD7),INDEX('1.Locations'!J2:J32,DD7 + 1)," ")," ")</f>
        <v xml:space="preserve"> </v>
      </c>
      <c r="DN7" s="67" t="str">
        <f ca="1">IFERROR(IF(ISNUMBER(DD7),INDEX('1.Locations'!K2:K32,DD7 + 1)," ")," ")</f>
        <v xml:space="preserve"> </v>
      </c>
      <c r="DO7" s="67" t="str">
        <f ca="1">IFERROR(IF(ISNUMBER(DD7),SUM(DM5:DM7) + SUM(DN8:DN36)," ")," ")</f>
        <v xml:space="preserve"> </v>
      </c>
      <c r="DQ7" s="17">
        <v>2</v>
      </c>
      <c r="DR7" s="21"/>
      <c r="DS7" s="67" t="str">
        <f ca="1">IFERROR(MATCH(INDIRECT("DR7"),'1.Locations'!B2:B32, 0) - 1," ")</f>
        <v xml:space="preserve"> </v>
      </c>
      <c r="DT7" s="67" t="e">
        <f ca="1">IFERROR(IF(ISNUMBER(DS7),INDEX('1.Locations'!D2:D32,DS7 + 1),NA()),NA())</f>
        <v>#N/A</v>
      </c>
      <c r="DU7" s="67" t="e">
        <f ca="1">IFERROR(IF(ISNUMBER(DS7),INDEX('1.Locations'!E2:E32,DS7 + 1),NA()),NA())</f>
        <v>#N/A</v>
      </c>
      <c r="DV7" s="68" t="str">
        <f ca="1">IFERROR(IF(ISNUMBER(DS7),INDEX('2.Distances'!C2:C962,DS6*31+DS7+ 1) +DV6," ")," ")</f>
        <v xml:space="preserve"> </v>
      </c>
      <c r="DW7" s="69" t="str">
        <f ca="1">IFERROR(IF(ISNUMBER(DS7),INDEX('2.Distances'!D2:D962,DS6*31+DS7 + 1) +DW6," ")," ")</f>
        <v xml:space="preserve"> </v>
      </c>
      <c r="DX7" s="70" t="str">
        <f ca="1">IFERROR(IF(ISNUMBER(DS7),INDEX('2.Distances'!D2:D962,DS6*31+DS7 + 1) +DY6," ")," ")</f>
        <v xml:space="preserve"> </v>
      </c>
      <c r="DY7" s="70" t="str">
        <f ca="1">IFERROR(IF(AND(DS5&lt;&gt;DS7,ISNUMBER(DX7)),INDEX('1.Locations'!I2:I32,DS7 + 1) + MAX(DX7,INDEX('1.Locations'!F2:F32,DS7 + 1))," ")," ")</f>
        <v xml:space="preserve"> </v>
      </c>
      <c r="DZ7" s="69" t="str">
        <f ca="1">IFERROR(IF(DS5 = DS7, DX7 - DY5, DY7 - DY5)," ")</f>
        <v xml:space="preserve"> </v>
      </c>
      <c r="EA7" s="67" t="str">
        <f ca="1">IFERROR(IF(ISNUMBER(DS7),INDEX('1.Locations'!L2:L32,DS7 + 1) + EA6," ")," ")</f>
        <v xml:space="preserve"> </v>
      </c>
      <c r="EB7" s="67" t="str">
        <f ca="1">IFERROR(IF(ISNUMBER(DS7),INDEX('1.Locations'!J2:J32,DS7 + 1)," ")," ")</f>
        <v xml:space="preserve"> </v>
      </c>
      <c r="EC7" s="67" t="str">
        <f ca="1">IFERROR(IF(ISNUMBER(DS7),INDEX('1.Locations'!K2:K32,DS7 + 1)," ")," ")</f>
        <v xml:space="preserve"> </v>
      </c>
      <c r="ED7" s="67" t="str">
        <f ca="1">IFERROR(IF(ISNUMBER(DS7),SUM(EB5:EB7) + SUM(EC8:EC36)," ")," ")</f>
        <v xml:space="preserve"> </v>
      </c>
      <c r="EF7" s="17">
        <v>2</v>
      </c>
      <c r="EG7" s="21"/>
      <c r="EH7" s="67" t="str">
        <f ca="1">IFERROR(MATCH(INDIRECT("EG7"),'1.Locations'!B2:B32, 0) - 1," ")</f>
        <v xml:space="preserve"> </v>
      </c>
      <c r="EI7" s="67" t="e">
        <f ca="1">IFERROR(IF(ISNUMBER(EH7),INDEX('1.Locations'!D2:D32,EH7 + 1),NA()),NA())</f>
        <v>#N/A</v>
      </c>
      <c r="EJ7" s="67" t="e">
        <f ca="1">IFERROR(IF(ISNUMBER(EH7),INDEX('1.Locations'!E2:E32,EH7 + 1),NA()),NA())</f>
        <v>#N/A</v>
      </c>
      <c r="EK7" s="68" t="str">
        <f ca="1">IFERROR(IF(ISNUMBER(EH7),INDEX('2.Distances'!C2:C962,EH6*31+EH7+ 1) +EK6," ")," ")</f>
        <v xml:space="preserve"> </v>
      </c>
      <c r="EL7" s="69" t="str">
        <f ca="1">IFERROR(IF(ISNUMBER(EH7),INDEX('2.Distances'!D2:D962,EH6*31+EH7 + 1) +EL6," ")," ")</f>
        <v xml:space="preserve"> </v>
      </c>
      <c r="EM7" s="70" t="str">
        <f ca="1">IFERROR(IF(ISNUMBER(EH7),INDEX('2.Distances'!D2:D962,EH6*31+EH7 + 1) +EN6," ")," ")</f>
        <v xml:space="preserve"> </v>
      </c>
      <c r="EN7" s="70" t="str">
        <f ca="1">IFERROR(IF(AND(EH5&lt;&gt;EH7,ISNUMBER(EM7)),INDEX('1.Locations'!I2:I32,EH7 + 1) + MAX(EM7,INDEX('1.Locations'!F2:F32,EH7 + 1))," ")," ")</f>
        <v xml:space="preserve"> </v>
      </c>
      <c r="EO7" s="69" t="str">
        <f ca="1">IFERROR(IF(EH5 = EH7, EM7 - EN5, EN7 - EN5)," ")</f>
        <v xml:space="preserve"> </v>
      </c>
      <c r="EP7" s="67" t="str">
        <f ca="1">IFERROR(IF(ISNUMBER(EH7),INDEX('1.Locations'!L2:L32,EH7 + 1) + EP6," ")," ")</f>
        <v xml:space="preserve"> </v>
      </c>
      <c r="EQ7" s="67" t="str">
        <f ca="1">IFERROR(IF(ISNUMBER(EH7),INDEX('1.Locations'!J2:J32,EH7 + 1)," ")," ")</f>
        <v xml:space="preserve"> </v>
      </c>
      <c r="ER7" s="67" t="str">
        <f ca="1">IFERROR(IF(ISNUMBER(EH7),INDEX('1.Locations'!K2:K32,EH7 + 1)," ")," ")</f>
        <v xml:space="preserve"> </v>
      </c>
      <c r="ES7" s="67" t="str">
        <f ca="1">IFERROR(IF(ISNUMBER(EH7),SUM(EQ5:EQ7) + SUM(ER8:ER36)," ")," ")</f>
        <v xml:space="preserve"> </v>
      </c>
    </row>
    <row r="8" spans="1:149" x14ac:dyDescent="0.25">
      <c r="A8" s="17">
        <v>3</v>
      </c>
      <c r="B8" s="18" t="s">
        <v>75</v>
      </c>
      <c r="C8" s="67">
        <f ca="1">IFERROR(MATCH(INDIRECT("B8"),'1.Locations'!B2:B32, 0) - 1," ")</f>
        <v>18</v>
      </c>
      <c r="D8" s="67">
        <f ca="1">IFERROR(IF(ISNUMBER(C8),INDEX('1.Locations'!D2:D32,C8 + 1),NA()),NA())</f>
        <v>35.626389000000003</v>
      </c>
      <c r="E8" s="67">
        <f ca="1">IFERROR(IF(ISNUMBER(C8),INDEX('1.Locations'!E2:E32,C8 + 1),NA()),NA())</f>
        <v>36.014167</v>
      </c>
      <c r="F8" s="68">
        <f ca="1">IFERROR(IF(ISNUMBER(C8),INDEX('2.Distances'!C2:C962,C7*31+C8+ 1) +F7," ")," ")</f>
        <v>0.26575449242100174</v>
      </c>
      <c r="G8" s="69">
        <f ca="1">IFERROR(IF(ISNUMBER(C8),INDEX('2.Distances'!D2:D962,C7*31+C8 + 1) +G7," ")," ")</f>
        <v>2.0833333333333333E-3</v>
      </c>
      <c r="H8" s="70">
        <f ca="1">IFERROR(IF(ISNUMBER(C8),INDEX('2.Distances'!D2:D962,C7*31+C8 + 1) +I7," ")," ")</f>
        <v>0.33541666666666664</v>
      </c>
      <c r="I8" s="70">
        <f ca="1">IFERROR(IF(AND(C5&lt;&gt;C8,ISNUMBER(H8)),INDEX('1.Locations'!I2:I32,C8 + 1) + MAX(H8,INDEX('1.Locations'!F2:F32,C8 + 1))," ")," ")</f>
        <v>0.33541666666666664</v>
      </c>
      <c r="J8" s="69">
        <f ca="1">IFERROR(IF(C5 = C8, H8 - I5, I8 - I5)," ")</f>
        <v>2.0833333333333259E-3</v>
      </c>
      <c r="K8" s="67">
        <f ca="1">IFERROR(IF(ISNUMBER(C8),INDEX('1.Locations'!L2:L32,C8 + 1) + K7," ")," ")</f>
        <v>0</v>
      </c>
      <c r="L8" s="67">
        <f ca="1">IFERROR(IF(ISNUMBER(C8),INDEX('1.Locations'!J2:J32,C8 + 1)," ")," ")</f>
        <v>0</v>
      </c>
      <c r="M8" s="67">
        <f ca="1">IFERROR(IF(ISNUMBER(C8),INDEX('1.Locations'!K2:K32,C8 + 1)," ")," ")</f>
        <v>303.97561934722768</v>
      </c>
      <c r="N8" s="67">
        <f ca="1">IFERROR(IF(ISNUMBER(C8),SUM(L5:L8) + SUM(M9:M36)," ")," ")</f>
        <v>472.85096342902085</v>
      </c>
      <c r="P8" s="17">
        <v>3</v>
      </c>
      <c r="Q8" s="18" t="s">
        <v>68</v>
      </c>
      <c r="R8" s="67">
        <f ca="1">IFERROR(MATCH(INDIRECT("Q8"),'1.Locations'!B2:B32, 0) - 1," ")</f>
        <v>11</v>
      </c>
      <c r="S8" s="67">
        <f ca="1">IFERROR(IF(ISNUMBER(R8),INDEX('1.Locations'!D2:D32,R8 + 1),NA()),NA())</f>
        <v>35.556666999999997</v>
      </c>
      <c r="T8" s="67">
        <f ca="1">IFERROR(IF(ISNUMBER(R8),INDEX('1.Locations'!E2:E32,R8 + 1),NA()),NA())</f>
        <v>35.868611000000001</v>
      </c>
      <c r="U8" s="68">
        <f ca="1">IFERROR(IF(ISNUMBER(R8),INDEX('2.Distances'!C2:C962,R7*31+R8+ 1) +U7," ")," ")</f>
        <v>0.13799594692649869</v>
      </c>
      <c r="V8" s="69">
        <f ca="1">IFERROR(IF(ISNUMBER(R8),INDEX('2.Distances'!D2:D962,R7*31+R8 + 1) +V7," ")," ")</f>
        <v>2.0833333333333333E-3</v>
      </c>
      <c r="W8" s="70">
        <f ca="1">IFERROR(IF(ISNUMBER(R8),INDEX('2.Distances'!D2:D962,R7*31+R8 + 1) +X7," ")," ")</f>
        <v>0.33541666666666664</v>
      </c>
      <c r="X8" s="70">
        <f ca="1">IFERROR(IF(AND(R5&lt;&gt;R8,ISNUMBER(W8)),INDEX('1.Locations'!I2:I32,R8 + 1) + MAX(W8,INDEX('1.Locations'!F2:F32,R8 + 1))," ")," ")</f>
        <v>0.33541666666666664</v>
      </c>
      <c r="Y8" s="69">
        <f ca="1">IFERROR(IF(R5 = R8, W8 - X5, X8 - X5)," ")</f>
        <v>2.0833333333333259E-3</v>
      </c>
      <c r="Z8" s="67">
        <f ca="1">IFERROR(IF(ISNUMBER(R8),INDEX('1.Locations'!L2:L32,R8 + 1) + Z7," ")," ")</f>
        <v>0</v>
      </c>
      <c r="AA8" s="67">
        <f ca="1">IFERROR(IF(ISNUMBER(R8),INDEX('1.Locations'!J2:J32,R8 + 1)," ")," ")</f>
        <v>0</v>
      </c>
      <c r="AB8" s="67">
        <f ca="1">IFERROR(IF(ISNUMBER(R8),INDEX('1.Locations'!K2:K32,R8 + 1)," ")," ")</f>
        <v>75.591820684231223</v>
      </c>
      <c r="AC8" s="67">
        <f ca="1">IFERROR(IF(ISNUMBER(R8),SUM(AA5:AA8) + SUM(AB9:AB36)," ")," ")</f>
        <v>0</v>
      </c>
      <c r="AE8" s="17">
        <v>3</v>
      </c>
      <c r="AF8" s="18" t="s">
        <v>83</v>
      </c>
      <c r="AG8" s="67">
        <f ca="1">IFERROR(MATCH(INDIRECT("AF8"),'1.Locations'!B2:B32, 0) - 1," ")</f>
        <v>26</v>
      </c>
      <c r="AH8" s="67">
        <f ca="1">IFERROR(IF(ISNUMBER(AG8),INDEX('1.Locations'!D2:D32,AG8 + 1),NA()),NA())</f>
        <v>35.660746000000003</v>
      </c>
      <c r="AI8" s="67">
        <f ca="1">IFERROR(IF(ISNUMBER(AG8),INDEX('1.Locations'!E2:E32,AG8 + 1),NA()),NA())</f>
        <v>35.845717999999998</v>
      </c>
      <c r="AJ8" s="68">
        <f ca="1">IFERROR(IF(ISNUMBER(AG8),INDEX('2.Distances'!C2:C962,AG7*31+AG8+ 1) +AJ7," ")," ")</f>
        <v>0.15331839844515965</v>
      </c>
      <c r="AK8" s="69">
        <f ca="1">IFERROR(IF(ISNUMBER(AG8),INDEX('2.Distances'!D2:D962,AG7*31+AG8 + 1) +AK7," ")," ")</f>
        <v>2.0833333333333333E-3</v>
      </c>
      <c r="AL8" s="70">
        <f ca="1">IFERROR(IF(ISNUMBER(AG8),INDEX('2.Distances'!D2:D962,AG7*31+AG8 + 1) +AM7," ")," ")</f>
        <v>0.33541666666666664</v>
      </c>
      <c r="AM8" s="70">
        <f ca="1">IFERROR(IF(AND(AG5&lt;&gt;AG8,ISNUMBER(AL8)),INDEX('1.Locations'!I2:I32,AG8 + 1) + MAX(AL8,INDEX('1.Locations'!F2:F32,AG8 + 1))," ")," ")</f>
        <v>0.33541666666666664</v>
      </c>
      <c r="AN8" s="69">
        <f ca="1">IFERROR(IF(AG5 = AG8, AL8 - AM5, AM8 - AM5)," ")</f>
        <v>2.0833333333333259E-3</v>
      </c>
      <c r="AO8" s="67">
        <f ca="1">IFERROR(IF(ISNUMBER(AG8),INDEX('1.Locations'!L2:L32,AG8 + 1) + AO7," ")," ")</f>
        <v>0</v>
      </c>
      <c r="AP8" s="67">
        <f ca="1">IFERROR(IF(ISNUMBER(AG8),INDEX('1.Locations'!J2:J32,AG8 + 1)," ")," ")</f>
        <v>0</v>
      </c>
      <c r="AQ8" s="67">
        <f ca="1">IFERROR(IF(ISNUMBER(AG8),INDEX('1.Locations'!K2:K32,AG8 + 1)," ")," ")</f>
        <v>49.509337860780981</v>
      </c>
      <c r="AR8" s="67">
        <f ca="1">IFERROR(IF(ISNUMBER(AG8),SUM(AP5:AP8) + SUM(AQ9:AQ36)," ")," ")</f>
        <v>677.19115005417598</v>
      </c>
      <c r="AT8" s="17">
        <v>3</v>
      </c>
      <c r="AU8" s="18" t="s">
        <v>67</v>
      </c>
      <c r="AV8" s="67">
        <f ca="1">IFERROR(MATCH(INDIRECT("AU8"),'1.Locations'!B2:B32, 0) - 1," ")</f>
        <v>10</v>
      </c>
      <c r="AW8" s="67">
        <f ca="1">IFERROR(IF(ISNUMBER(AV8),INDEX('1.Locations'!D2:D32,AV8 + 1),NA()),NA())</f>
        <v>35.638010999999999</v>
      </c>
      <c r="AX8" s="67">
        <f ca="1">IFERROR(IF(ISNUMBER(AV8),INDEX('1.Locations'!E2:E32,AV8 + 1),NA()),NA())</f>
        <v>35.807541999999998</v>
      </c>
      <c r="AY8" s="68">
        <f ca="1">IFERROR(IF(ISNUMBER(AV8),INDEX('2.Distances'!C2:C962,AV7*31+AV8+ 1) +AY7," ")," ")</f>
        <v>0.11488131004390056</v>
      </c>
      <c r="AZ8" s="69">
        <f ca="1">IFERROR(IF(ISNUMBER(AV8),INDEX('2.Distances'!D2:D962,AV7*31+AV8 + 1) +AZ7," ")," ")</f>
        <v>2.0833333333333333E-3</v>
      </c>
      <c r="BA8" s="70">
        <f ca="1">IFERROR(IF(ISNUMBER(AV8),INDEX('2.Distances'!D2:D962,AV7*31+AV8 + 1) +BB7," ")," ")</f>
        <v>0.33541666666666664</v>
      </c>
      <c r="BB8" s="70">
        <f ca="1">IFERROR(IF(AND(AV5&lt;&gt;AV8,ISNUMBER(BA8)),INDEX('1.Locations'!I2:I32,AV8 + 1) + MAX(BA8,INDEX('1.Locations'!F2:F32,AV8 + 1))," ")," ")</f>
        <v>0.33541666666666664</v>
      </c>
      <c r="BC8" s="69">
        <f ca="1">IFERROR(IF(AV5 = AV8, BA8 - BB5, BB8 - BB5)," ")</f>
        <v>2.0833333333333259E-3</v>
      </c>
      <c r="BD8" s="67">
        <f ca="1">IFERROR(IF(ISNUMBER(AV8),INDEX('1.Locations'!L2:L32,AV8 + 1) + BD7," ")," ")</f>
        <v>0</v>
      </c>
      <c r="BE8" s="67">
        <f ca="1">IFERROR(IF(ISNUMBER(AV8),INDEX('1.Locations'!J2:J32,AV8 + 1)," ")," ")</f>
        <v>0</v>
      </c>
      <c r="BF8" s="67">
        <f ca="1">IFERROR(IF(ISNUMBER(AV8),INDEX('1.Locations'!K2:K32,AV8 + 1)," ")," ")</f>
        <v>65.576712923352275</v>
      </c>
      <c r="BG8" s="67">
        <f ca="1">IFERROR(IF(ISNUMBER(AV8),SUM(BE5:BE8) + SUM(BF9:BF36)," ")," ")</f>
        <v>480.690662139219</v>
      </c>
      <c r="BI8" s="17">
        <v>3</v>
      </c>
      <c r="BJ8" s="18" t="s">
        <v>70</v>
      </c>
      <c r="BK8" s="67">
        <f ca="1">IFERROR(MATCH(INDIRECT("BJ8"),'1.Locations'!B2:B32, 0) - 1," ")</f>
        <v>13</v>
      </c>
      <c r="BL8" s="67">
        <f ca="1">IFERROR(IF(ISNUMBER(BK8),INDEX('1.Locations'!D2:D32,BK8 + 1),NA()),NA())</f>
        <v>35.635308999999999</v>
      </c>
      <c r="BM8" s="67">
        <f ca="1">IFERROR(IF(ISNUMBER(BK8),INDEX('1.Locations'!E2:E32,BK8 + 1),NA()),NA())</f>
        <v>35.954692999999999</v>
      </c>
      <c r="BN8" s="68">
        <f ca="1">IFERROR(IF(ISNUMBER(BK8),INDEX('2.Distances'!C2:C962,BK7*31+BK8+ 1) +BN7," ")," ")</f>
        <v>0.2163364914839058</v>
      </c>
      <c r="BO8" s="69">
        <f ca="1">IFERROR(IF(ISNUMBER(BK8),INDEX('2.Distances'!D2:D962,BK7*31+BK8 + 1) +BO7," ")," ")</f>
        <v>2.0833333333333333E-3</v>
      </c>
      <c r="BP8" s="70">
        <f ca="1">IFERROR(IF(ISNUMBER(BK8),INDEX('2.Distances'!D2:D962,BK7*31+BK8 + 1) +BQ7," ")," ")</f>
        <v>0.33541666666666664</v>
      </c>
      <c r="BQ8" s="70">
        <f ca="1">IFERROR(IF(AND(BK5&lt;&gt;BK8,ISNUMBER(BP8)),INDEX('1.Locations'!I2:I32,BK8 + 1) + MAX(BP8,INDEX('1.Locations'!F2:F32,BK8 + 1))," ")," ")</f>
        <v>0.33541666666666664</v>
      </c>
      <c r="BR8" s="69">
        <f ca="1">IFERROR(IF(BK5 = BK8, BP8 - BQ5, BQ8 - BQ5)," ")</f>
        <v>2.0833333333333259E-3</v>
      </c>
      <c r="BS8" s="67">
        <f ca="1">IFERROR(IF(ISNUMBER(BK8),INDEX('1.Locations'!L2:L32,BK8 + 1) + BS7," ")," ")</f>
        <v>0</v>
      </c>
      <c r="BT8" s="67">
        <f ca="1">IFERROR(IF(ISNUMBER(BK8),INDEX('1.Locations'!J2:J32,BK8 + 1)," ")," ")</f>
        <v>0</v>
      </c>
      <c r="BU8" s="67">
        <f ca="1">IFERROR(IF(ISNUMBER(BK8),INDEX('1.Locations'!K2:K32,BK8 + 1)," ")," ")</f>
        <v>25.73338576484467</v>
      </c>
      <c r="BV8" s="67">
        <f ca="1">IFERROR(IF(ISNUMBER(BK8),SUM(BT5:BT8) + SUM(BU9:BU36)," ")," ")</f>
        <v>565.75171992493131</v>
      </c>
      <c r="BX8" s="17">
        <v>3</v>
      </c>
      <c r="BY8" s="18" t="s">
        <v>55</v>
      </c>
      <c r="BZ8" s="67">
        <f ca="1">IFERROR(MATCH(INDIRECT("BY8"),'1.Locations'!B2:B32, 0) - 1," ")</f>
        <v>0</v>
      </c>
      <c r="CA8" s="67">
        <f ca="1">IFERROR(IF(ISNUMBER(BZ8),INDEX('1.Locations'!D2:D32,BZ8 + 1),NA()),NA())</f>
        <v>35.53</v>
      </c>
      <c r="CB8" s="67">
        <f ca="1">IFERROR(IF(ISNUMBER(BZ8),INDEX('1.Locations'!E2:E32,BZ8 + 1),NA()),NA())</f>
        <v>35.770000000000003</v>
      </c>
      <c r="CC8" s="68">
        <f ca="1">IFERROR(IF(ISNUMBER(BZ8),INDEX('2.Distances'!C2:C962,BZ7*31+BZ8+ 1) +CC7," ")," ")</f>
        <v>0.14200266288388794</v>
      </c>
      <c r="CD8" s="69">
        <f ca="1">IFERROR(IF(ISNUMBER(BZ8),INDEX('2.Distances'!D2:D962,BZ7*31+BZ8 + 1) +CD7," ")," ")</f>
        <v>2.0833333333333333E-3</v>
      </c>
      <c r="CE8" s="70">
        <f ca="1">IFERROR(IF(ISNUMBER(BZ8),INDEX('2.Distances'!D2:D962,BZ7*31+BZ8 + 1) +CF7," ")," ")</f>
        <v>0.33541666666666664</v>
      </c>
      <c r="CF8" s="70" t="str">
        <f ca="1">IFERROR(IF(AND(BZ5&lt;&gt;BZ8,ISNUMBER(CE8)),INDEX('1.Locations'!I2:I32,BZ8 + 1) + MAX(CE8,INDEX('1.Locations'!F2:F32,BZ8 + 1))," ")," ")</f>
        <v xml:space="preserve"> </v>
      </c>
      <c r="CG8" s="69">
        <f ca="1">IFERROR(IF(BZ5 = BZ8, CE8 - CF5, CF8 - CF5)," ")</f>
        <v>2.0833333333333259E-3</v>
      </c>
      <c r="CH8" s="67">
        <f ca="1">IFERROR(IF(ISNUMBER(BZ8),INDEX('1.Locations'!L2:L32,BZ8 + 1) + CH7," ")," ")</f>
        <v>0</v>
      </c>
      <c r="CI8" s="67">
        <f ca="1">IFERROR(IF(ISNUMBER(BZ8),INDEX('1.Locations'!J2:J32,BZ8 + 1)," ")," ")</f>
        <v>0</v>
      </c>
      <c r="CJ8" s="67">
        <f ca="1">IFERROR(IF(ISNUMBER(BZ8),INDEX('1.Locations'!K2:K32,BZ8 + 1)," ")," ")</f>
        <v>0</v>
      </c>
      <c r="CK8" s="67">
        <f ca="1">IFERROR(IF(ISNUMBER(BZ8),SUM(CI5:CI8) + SUM(CJ9:CJ36)," ")," ")</f>
        <v>0</v>
      </c>
      <c r="CM8" s="17">
        <v>3</v>
      </c>
      <c r="CN8" s="18"/>
      <c r="CO8" s="67" t="str">
        <f ca="1">IFERROR(MATCH(INDIRECT("CN8"),'1.Locations'!B2:B32, 0) - 1," ")</f>
        <v xml:space="preserve"> </v>
      </c>
      <c r="CP8" s="67" t="e">
        <f ca="1">IFERROR(IF(ISNUMBER(CO8),INDEX('1.Locations'!D2:D32,CO8 + 1),NA()),NA())</f>
        <v>#N/A</v>
      </c>
      <c r="CQ8" s="67" t="e">
        <f ca="1">IFERROR(IF(ISNUMBER(CO8),INDEX('1.Locations'!E2:E32,CO8 + 1),NA()),NA())</f>
        <v>#N/A</v>
      </c>
      <c r="CR8" s="68" t="str">
        <f ca="1">IFERROR(IF(ISNUMBER(CO8),INDEX('2.Distances'!C2:C962,CO7*31+CO8+ 1) +CR7," ")," ")</f>
        <v xml:space="preserve"> </v>
      </c>
      <c r="CS8" s="69" t="str">
        <f ca="1">IFERROR(IF(ISNUMBER(CO8),INDEX('2.Distances'!D2:D962,CO7*31+CO8 + 1) +CS7," ")," ")</f>
        <v xml:space="preserve"> </v>
      </c>
      <c r="CT8" s="70" t="str">
        <f ca="1">IFERROR(IF(ISNUMBER(CO8),INDEX('2.Distances'!D2:D962,CO7*31+CO8 + 1) +CU7," ")," ")</f>
        <v xml:space="preserve"> </v>
      </c>
      <c r="CU8" s="70" t="str">
        <f ca="1">IFERROR(IF(AND(CO5&lt;&gt;CO8,ISNUMBER(CT8)),INDEX('1.Locations'!I2:I32,CO8 + 1) + MAX(CT8,INDEX('1.Locations'!F2:F32,CO8 + 1))," ")," ")</f>
        <v xml:space="preserve"> </v>
      </c>
      <c r="CV8" s="69" t="str">
        <f ca="1">IFERROR(IF(CO5 = CO8, CT8 - CU5, CU8 - CU5)," ")</f>
        <v xml:space="preserve"> </v>
      </c>
      <c r="CW8" s="67" t="str">
        <f ca="1">IFERROR(IF(ISNUMBER(CO8),INDEX('1.Locations'!L2:L32,CO8 + 1) + CW7," ")," ")</f>
        <v xml:space="preserve"> </v>
      </c>
      <c r="CX8" s="67" t="str">
        <f ca="1">IFERROR(IF(ISNUMBER(CO8),INDEX('1.Locations'!J2:J32,CO8 + 1)," ")," ")</f>
        <v xml:space="preserve"> </v>
      </c>
      <c r="CY8" s="67" t="str">
        <f ca="1">IFERROR(IF(ISNUMBER(CO8),INDEX('1.Locations'!K2:K32,CO8 + 1)," ")," ")</f>
        <v xml:space="preserve"> </v>
      </c>
      <c r="CZ8" s="67" t="str">
        <f ca="1">IFERROR(IF(ISNUMBER(CO8),SUM(CX5:CX8) + SUM(CY9:CY36)," ")," ")</f>
        <v xml:space="preserve"> </v>
      </c>
      <c r="DB8" s="17">
        <v>3</v>
      </c>
      <c r="DC8" s="18"/>
      <c r="DD8" s="67" t="str">
        <f ca="1">IFERROR(MATCH(INDIRECT("DC8"),'1.Locations'!B2:B32, 0) - 1," ")</f>
        <v xml:space="preserve"> </v>
      </c>
      <c r="DE8" s="67" t="e">
        <f ca="1">IFERROR(IF(ISNUMBER(DD8),INDEX('1.Locations'!D2:D32,DD8 + 1),NA()),NA())</f>
        <v>#N/A</v>
      </c>
      <c r="DF8" s="67" t="e">
        <f ca="1">IFERROR(IF(ISNUMBER(DD8),INDEX('1.Locations'!E2:E32,DD8 + 1),NA()),NA())</f>
        <v>#N/A</v>
      </c>
      <c r="DG8" s="68" t="str">
        <f ca="1">IFERROR(IF(ISNUMBER(DD8),INDEX('2.Distances'!C2:C962,DD7*31+DD8+ 1) +DG7," ")," ")</f>
        <v xml:space="preserve"> </v>
      </c>
      <c r="DH8" s="69" t="str">
        <f ca="1">IFERROR(IF(ISNUMBER(DD8),INDEX('2.Distances'!D2:D962,DD7*31+DD8 + 1) +DH7," ")," ")</f>
        <v xml:space="preserve"> </v>
      </c>
      <c r="DI8" s="70" t="str">
        <f ca="1">IFERROR(IF(ISNUMBER(DD8),INDEX('2.Distances'!D2:D962,DD7*31+DD8 + 1) +DJ7," ")," ")</f>
        <v xml:space="preserve"> </v>
      </c>
      <c r="DJ8" s="70" t="str">
        <f ca="1">IFERROR(IF(AND(DD5&lt;&gt;DD8,ISNUMBER(DI8)),INDEX('1.Locations'!I2:I32,DD8 + 1) + MAX(DI8,INDEX('1.Locations'!F2:F32,DD8 + 1))," ")," ")</f>
        <v xml:space="preserve"> </v>
      </c>
      <c r="DK8" s="69" t="str">
        <f ca="1">IFERROR(IF(DD5 = DD8, DI8 - DJ5, DJ8 - DJ5)," ")</f>
        <v xml:space="preserve"> </v>
      </c>
      <c r="DL8" s="67" t="str">
        <f ca="1">IFERROR(IF(ISNUMBER(DD8),INDEX('1.Locations'!L2:L32,DD8 + 1) + DL7," ")," ")</f>
        <v xml:space="preserve"> </v>
      </c>
      <c r="DM8" s="67" t="str">
        <f ca="1">IFERROR(IF(ISNUMBER(DD8),INDEX('1.Locations'!J2:J32,DD8 + 1)," ")," ")</f>
        <v xml:space="preserve"> </v>
      </c>
      <c r="DN8" s="67" t="str">
        <f ca="1">IFERROR(IF(ISNUMBER(DD8),INDEX('1.Locations'!K2:K32,DD8 + 1)," ")," ")</f>
        <v xml:space="preserve"> </v>
      </c>
      <c r="DO8" s="67" t="str">
        <f ca="1">IFERROR(IF(ISNUMBER(DD8),SUM(DM5:DM8) + SUM(DN9:DN36)," ")," ")</f>
        <v xml:space="preserve"> </v>
      </c>
      <c r="DQ8" s="17">
        <v>3</v>
      </c>
      <c r="DR8" s="18"/>
      <c r="DS8" s="67" t="str">
        <f ca="1">IFERROR(MATCH(INDIRECT("DR8"),'1.Locations'!B2:B32, 0) - 1," ")</f>
        <v xml:space="preserve"> </v>
      </c>
      <c r="DT8" s="67" t="e">
        <f ca="1">IFERROR(IF(ISNUMBER(DS8),INDEX('1.Locations'!D2:D32,DS8 + 1),NA()),NA())</f>
        <v>#N/A</v>
      </c>
      <c r="DU8" s="67" t="e">
        <f ca="1">IFERROR(IF(ISNUMBER(DS8),INDEX('1.Locations'!E2:E32,DS8 + 1),NA()),NA())</f>
        <v>#N/A</v>
      </c>
      <c r="DV8" s="68" t="str">
        <f ca="1">IFERROR(IF(ISNUMBER(DS8),INDEX('2.Distances'!C2:C962,DS7*31+DS8+ 1) +DV7," ")," ")</f>
        <v xml:space="preserve"> </v>
      </c>
      <c r="DW8" s="69" t="str">
        <f ca="1">IFERROR(IF(ISNUMBER(DS8),INDEX('2.Distances'!D2:D962,DS7*31+DS8 + 1) +DW7," ")," ")</f>
        <v xml:space="preserve"> </v>
      </c>
      <c r="DX8" s="70" t="str">
        <f ca="1">IFERROR(IF(ISNUMBER(DS8),INDEX('2.Distances'!D2:D962,DS7*31+DS8 + 1) +DY7," ")," ")</f>
        <v xml:space="preserve"> </v>
      </c>
      <c r="DY8" s="70" t="str">
        <f ca="1">IFERROR(IF(AND(DS5&lt;&gt;DS8,ISNUMBER(DX8)),INDEX('1.Locations'!I2:I32,DS8 + 1) + MAX(DX8,INDEX('1.Locations'!F2:F32,DS8 + 1))," ")," ")</f>
        <v xml:space="preserve"> </v>
      </c>
      <c r="DZ8" s="69" t="str">
        <f ca="1">IFERROR(IF(DS5 = DS8, DX8 - DY5, DY8 - DY5)," ")</f>
        <v xml:space="preserve"> </v>
      </c>
      <c r="EA8" s="67" t="str">
        <f ca="1">IFERROR(IF(ISNUMBER(DS8),INDEX('1.Locations'!L2:L32,DS8 + 1) + EA7," ")," ")</f>
        <v xml:space="preserve"> </v>
      </c>
      <c r="EB8" s="67" t="str">
        <f ca="1">IFERROR(IF(ISNUMBER(DS8),INDEX('1.Locations'!J2:J32,DS8 + 1)," ")," ")</f>
        <v xml:space="preserve"> </v>
      </c>
      <c r="EC8" s="67" t="str">
        <f ca="1">IFERROR(IF(ISNUMBER(DS8),INDEX('1.Locations'!K2:K32,DS8 + 1)," ")," ")</f>
        <v xml:space="preserve"> </v>
      </c>
      <c r="ED8" s="67" t="str">
        <f ca="1">IFERROR(IF(ISNUMBER(DS8),SUM(EB5:EB8) + SUM(EC9:EC36)," ")," ")</f>
        <v xml:space="preserve"> </v>
      </c>
      <c r="EF8" s="17">
        <v>3</v>
      </c>
      <c r="EG8" s="18"/>
      <c r="EH8" s="67" t="str">
        <f ca="1">IFERROR(MATCH(INDIRECT("EG8"),'1.Locations'!B2:B32, 0) - 1," ")</f>
        <v xml:space="preserve"> </v>
      </c>
      <c r="EI8" s="67" t="e">
        <f ca="1">IFERROR(IF(ISNUMBER(EH8),INDEX('1.Locations'!D2:D32,EH8 + 1),NA()),NA())</f>
        <v>#N/A</v>
      </c>
      <c r="EJ8" s="67" t="e">
        <f ca="1">IFERROR(IF(ISNUMBER(EH8),INDEX('1.Locations'!E2:E32,EH8 + 1),NA()),NA())</f>
        <v>#N/A</v>
      </c>
      <c r="EK8" s="68" t="str">
        <f ca="1">IFERROR(IF(ISNUMBER(EH8),INDEX('2.Distances'!C2:C962,EH7*31+EH8+ 1) +EK7," ")," ")</f>
        <v xml:space="preserve"> </v>
      </c>
      <c r="EL8" s="69" t="str">
        <f ca="1">IFERROR(IF(ISNUMBER(EH8),INDEX('2.Distances'!D2:D962,EH7*31+EH8 + 1) +EL7," ")," ")</f>
        <v xml:space="preserve"> </v>
      </c>
      <c r="EM8" s="70" t="str">
        <f ca="1">IFERROR(IF(ISNUMBER(EH8),INDEX('2.Distances'!D2:D962,EH7*31+EH8 + 1) +EN7," ")," ")</f>
        <v xml:space="preserve"> </v>
      </c>
      <c r="EN8" s="70" t="str">
        <f ca="1">IFERROR(IF(AND(EH5&lt;&gt;EH8,ISNUMBER(EM8)),INDEX('1.Locations'!I2:I32,EH8 + 1) + MAX(EM8,INDEX('1.Locations'!F2:F32,EH8 + 1))," ")," ")</f>
        <v xml:space="preserve"> </v>
      </c>
      <c r="EO8" s="69" t="str">
        <f ca="1">IFERROR(IF(EH5 = EH8, EM8 - EN5, EN8 - EN5)," ")</f>
        <v xml:space="preserve"> </v>
      </c>
      <c r="EP8" s="67" t="str">
        <f ca="1">IFERROR(IF(ISNUMBER(EH8),INDEX('1.Locations'!L2:L32,EH8 + 1) + EP7," ")," ")</f>
        <v xml:space="preserve"> </v>
      </c>
      <c r="EQ8" s="67" t="str">
        <f ca="1">IFERROR(IF(ISNUMBER(EH8),INDEX('1.Locations'!J2:J32,EH8 + 1)," ")," ")</f>
        <v xml:space="preserve"> </v>
      </c>
      <c r="ER8" s="67" t="str">
        <f ca="1">IFERROR(IF(ISNUMBER(EH8),INDEX('1.Locations'!K2:K32,EH8 + 1)," ")," ")</f>
        <v xml:space="preserve"> </v>
      </c>
      <c r="ES8" s="67" t="str">
        <f ca="1">IFERROR(IF(ISNUMBER(EH8),SUM(EQ5:EQ8) + SUM(ER9:ER36)," ")," ")</f>
        <v xml:space="preserve"> </v>
      </c>
    </row>
    <row r="9" spans="1:149" x14ac:dyDescent="0.25">
      <c r="A9" s="17">
        <v>4</v>
      </c>
      <c r="B9" s="21" t="s">
        <v>76</v>
      </c>
      <c r="C9" s="67">
        <f ca="1">IFERROR(MATCH(INDIRECT("B9"),'1.Locations'!B2:B32, 0) - 1," ")</f>
        <v>19</v>
      </c>
      <c r="D9" s="67">
        <f ca="1">IFERROR(IF(ISNUMBER(C9),INDEX('1.Locations'!D2:D32,C9 + 1),NA()),NA())</f>
        <v>35.628610999999999</v>
      </c>
      <c r="E9" s="67">
        <f ca="1">IFERROR(IF(ISNUMBER(C9),INDEX('1.Locations'!E2:E32,C9 + 1),NA()),NA())</f>
        <v>36.006943999999997</v>
      </c>
      <c r="F9" s="68">
        <f ca="1">IFERROR(IF(ISNUMBER(C9),INDEX('2.Distances'!C2:C962,C8*31+C9+ 1) +F8," ")," ")</f>
        <v>0.27331154296999444</v>
      </c>
      <c r="G9" s="69">
        <f ca="1">IFERROR(IF(ISNUMBER(C9),INDEX('2.Distances'!D2:D962,C8*31+C9 + 1) +G8," ")," ")</f>
        <v>2.7777777777777779E-3</v>
      </c>
      <c r="H9" s="70">
        <f ca="1">IFERROR(IF(ISNUMBER(C9),INDEX('2.Distances'!D2:D962,C8*31+C9 + 1) +I8," ")," ")</f>
        <v>0.33611111111111108</v>
      </c>
      <c r="I9" s="70">
        <f ca="1">IFERROR(IF(AND(C5&lt;&gt;C9,ISNUMBER(H9)),INDEX('1.Locations'!I2:I32,C9 + 1) + MAX(H9,INDEX('1.Locations'!F2:F32,C9 + 1))," ")," ")</f>
        <v>0.33611111111111108</v>
      </c>
      <c r="J9" s="69">
        <f ca="1">IFERROR(IF(C5 = C9, H9 - I5, I9 - I5)," ")</f>
        <v>2.7777777777777679E-3</v>
      </c>
      <c r="K9" s="67">
        <f ca="1">IFERROR(IF(ISNUMBER(C9),INDEX('1.Locations'!L2:L32,C9 + 1) + K8," ")," ")</f>
        <v>0</v>
      </c>
      <c r="L9" s="67">
        <f ca="1">IFERROR(IF(ISNUMBER(C9),INDEX('1.Locations'!J2:J32,C9 + 1)," ")," ")</f>
        <v>0</v>
      </c>
      <c r="M9" s="67">
        <f ca="1">IFERROR(IF(ISNUMBER(C9),INDEX('1.Locations'!K2:K32,C9 + 1)," ")," ")</f>
        <v>20.908375933936295</v>
      </c>
      <c r="N9" s="67">
        <f ca="1">IFERROR(IF(ISNUMBER(C9),SUM(L5:L9) + SUM(M10:M36)," ")," ")</f>
        <v>451.94258749508452</v>
      </c>
      <c r="P9" s="17">
        <v>4</v>
      </c>
      <c r="Q9" s="21" t="s">
        <v>55</v>
      </c>
      <c r="R9" s="67">
        <f ca="1">IFERROR(MATCH(INDIRECT("Q9"),'1.Locations'!B2:B32, 0) - 1," ")</f>
        <v>0</v>
      </c>
      <c r="S9" s="67">
        <f ca="1">IFERROR(IF(ISNUMBER(R9),INDEX('1.Locations'!D2:D32,R9 + 1),NA()),NA())</f>
        <v>35.53</v>
      </c>
      <c r="T9" s="67">
        <f ca="1">IFERROR(IF(ISNUMBER(R9),INDEX('1.Locations'!E2:E32,R9 + 1),NA()),NA())</f>
        <v>35.770000000000003</v>
      </c>
      <c r="U9" s="68">
        <f ca="1">IFERROR(IF(ISNUMBER(R9),INDEX('2.Distances'!C2:C962,R8*31+R9+ 1) +U8," ")," ")</f>
        <v>0.24014905852863958</v>
      </c>
      <c r="V9" s="69">
        <f ca="1">IFERROR(IF(ISNUMBER(R9),INDEX('2.Distances'!D2:D962,R8*31+R9 + 1) +V8," ")," ")</f>
        <v>2.7777777777777779E-3</v>
      </c>
      <c r="W9" s="70">
        <f ca="1">IFERROR(IF(ISNUMBER(R9),INDEX('2.Distances'!D2:D962,R8*31+R9 + 1) +X8," ")," ")</f>
        <v>0.33611111111111108</v>
      </c>
      <c r="X9" s="70" t="str">
        <f ca="1">IFERROR(IF(AND(R5&lt;&gt;R9,ISNUMBER(W9)),INDEX('1.Locations'!I2:I32,R9 + 1) + MAX(W9,INDEX('1.Locations'!F2:F32,R9 + 1))," ")," ")</f>
        <v xml:space="preserve"> </v>
      </c>
      <c r="Y9" s="69">
        <f ca="1">IFERROR(IF(R5 = R9, W9 - X5, X9 - X5)," ")</f>
        <v>2.7777777777777679E-3</v>
      </c>
      <c r="Z9" s="67">
        <f ca="1">IFERROR(IF(ISNUMBER(R9),INDEX('1.Locations'!L2:L32,R9 + 1) + Z8," ")," ")</f>
        <v>0</v>
      </c>
      <c r="AA9" s="67">
        <f ca="1">IFERROR(IF(ISNUMBER(R9),INDEX('1.Locations'!J2:J32,R9 + 1)," ")," ")</f>
        <v>0</v>
      </c>
      <c r="AB9" s="67">
        <f ca="1">IFERROR(IF(ISNUMBER(R9),INDEX('1.Locations'!K2:K32,R9 + 1)," ")," ")</f>
        <v>0</v>
      </c>
      <c r="AC9" s="67">
        <f ca="1">IFERROR(IF(ISNUMBER(R9),SUM(AA5:AA9) + SUM(AB10:AB36)," ")," ")</f>
        <v>0</v>
      </c>
      <c r="AE9" s="17">
        <v>4</v>
      </c>
      <c r="AF9" s="21" t="s">
        <v>85</v>
      </c>
      <c r="AG9" s="67">
        <f ca="1">IFERROR(MATCH(INDIRECT("AF9"),'1.Locations'!B2:B32, 0) - 1," ")</f>
        <v>28</v>
      </c>
      <c r="AH9" s="67">
        <f ca="1">IFERROR(IF(ISNUMBER(AG9),INDEX('1.Locations'!D2:D32,AG9 + 1),NA()),NA())</f>
        <v>35.672548999999997</v>
      </c>
      <c r="AI9" s="67">
        <f ca="1">IFERROR(IF(ISNUMBER(AG9),INDEX('1.Locations'!E2:E32,AG9 + 1),NA()),NA())</f>
        <v>35.910440000000001</v>
      </c>
      <c r="AJ9" s="68">
        <f ca="1">IFERROR(IF(ISNUMBER(AG9),INDEX('2.Distances'!C2:C962,AG8*31+AG9+ 1) +AJ8," ")," ")</f>
        <v>0.21910782079404692</v>
      </c>
      <c r="AK9" s="69">
        <f ca="1">IFERROR(IF(ISNUMBER(AG9),INDEX('2.Distances'!D2:D962,AG8*31+AG9 + 1) +AK8," ")," ")</f>
        <v>2.7777777777777779E-3</v>
      </c>
      <c r="AL9" s="70">
        <f ca="1">IFERROR(IF(ISNUMBER(AG9),INDEX('2.Distances'!D2:D962,AG8*31+AG9 + 1) +AM8," ")," ")</f>
        <v>0.33611111111111108</v>
      </c>
      <c r="AM9" s="70">
        <f ca="1">IFERROR(IF(AND(AG5&lt;&gt;AG9,ISNUMBER(AL9)),INDEX('1.Locations'!I2:I32,AG9 + 1) + MAX(AL9,INDEX('1.Locations'!F2:F32,AG9 + 1))," ")," ")</f>
        <v>0.33611111111111108</v>
      </c>
      <c r="AN9" s="69">
        <f ca="1">IFERROR(IF(AG5 = AG9, AL9 - AM5, AM9 - AM5)," ")</f>
        <v>2.7777777777777679E-3</v>
      </c>
      <c r="AO9" s="67">
        <f ca="1">IFERROR(IF(ISNUMBER(AG9),INDEX('1.Locations'!L2:L32,AG9 + 1) + AO8," ")," ")</f>
        <v>0</v>
      </c>
      <c r="AP9" s="67">
        <f ca="1">IFERROR(IF(ISNUMBER(AG9),INDEX('1.Locations'!J2:J32,AG9 + 1)," ")," ")</f>
        <v>0</v>
      </c>
      <c r="AQ9" s="67">
        <f ca="1">IFERROR(IF(ISNUMBER(AG9),INDEX('1.Locations'!K2:K32,AG9 + 1)," ")," ")</f>
        <v>53.110016977928687</v>
      </c>
      <c r="AR9" s="67">
        <f ca="1">IFERROR(IF(ISNUMBER(AG9),SUM(AP5:AP9) + SUM(AQ10:AQ36)," ")," ")</f>
        <v>624.0811330762474</v>
      </c>
      <c r="AT9" s="17">
        <v>4</v>
      </c>
      <c r="AU9" s="21" t="s">
        <v>81</v>
      </c>
      <c r="AV9" s="67">
        <f ca="1">IFERROR(MATCH(INDIRECT("AU9"),'1.Locations'!B2:B32, 0) - 1," ")</f>
        <v>24</v>
      </c>
      <c r="AW9" s="67">
        <f ca="1">IFERROR(IF(ISNUMBER(AV9),INDEX('1.Locations'!D2:D32,AV9 + 1),NA()),NA())</f>
        <v>35.671509999999998</v>
      </c>
      <c r="AX9" s="67">
        <f ca="1">IFERROR(IF(ISNUMBER(AV9),INDEX('1.Locations'!E2:E32,AV9 + 1),NA()),NA())</f>
        <v>35.789811</v>
      </c>
      <c r="AY9" s="68">
        <f ca="1">IFERROR(IF(ISNUMBER(AV9),INDEX('2.Distances'!C2:C962,AV8*31+AV9+ 1) +AY8," ")," ")</f>
        <v>0.15278343877039635</v>
      </c>
      <c r="AZ9" s="69">
        <f ca="1">IFERROR(IF(ISNUMBER(AV9),INDEX('2.Distances'!D2:D962,AV8*31+AV9 + 1) +AZ8," ")," ")</f>
        <v>2.7777777777777779E-3</v>
      </c>
      <c r="BA9" s="70">
        <f ca="1">IFERROR(IF(ISNUMBER(AV9),INDEX('2.Distances'!D2:D962,AV8*31+AV9 + 1) +BB8," ")," ")</f>
        <v>0.33611111111111108</v>
      </c>
      <c r="BB9" s="70">
        <f ca="1">IFERROR(IF(AND(AV5&lt;&gt;AV9,ISNUMBER(BA9)),INDEX('1.Locations'!I2:I32,AV9 + 1) + MAX(BA9,INDEX('1.Locations'!F2:F32,AV9 + 1))," ")," ")</f>
        <v>0.33611111111111108</v>
      </c>
      <c r="BC9" s="69">
        <f ca="1">IFERROR(IF(AV5 = AV9, BA9 - BB5, BB9 - BB5)," ")</f>
        <v>2.7777777777777679E-3</v>
      </c>
      <c r="BD9" s="67">
        <f ca="1">IFERROR(IF(ISNUMBER(AV9),INDEX('1.Locations'!L2:L32,AV9 + 1) + BD8," ")," ")</f>
        <v>0</v>
      </c>
      <c r="BE9" s="67">
        <f ca="1">IFERROR(IF(ISNUMBER(AV9),INDEX('1.Locations'!J2:J32,AV9 + 1)," ")," ")</f>
        <v>0</v>
      </c>
      <c r="BF9" s="67">
        <f ca="1">IFERROR(IF(ISNUMBER(AV9),INDEX('1.Locations'!K2:K32,AV9 + 1)," ")," ")</f>
        <v>480.690662139219</v>
      </c>
      <c r="BG9" s="67">
        <f ca="1">IFERROR(IF(ISNUMBER(AV9),SUM(BE5:BE9) + SUM(BF10:BF36)," ")," ")</f>
        <v>0</v>
      </c>
      <c r="BI9" s="17">
        <v>4</v>
      </c>
      <c r="BJ9" s="21" t="s">
        <v>80</v>
      </c>
      <c r="BK9" s="67">
        <f ca="1">IFERROR(MATCH(INDIRECT("BJ9"),'1.Locations'!B2:B32, 0) - 1," ")</f>
        <v>23</v>
      </c>
      <c r="BL9" s="67">
        <f ca="1">IFERROR(IF(ISNUMBER(BK9),INDEX('1.Locations'!D2:D32,BK9 + 1),NA()),NA())</f>
        <v>35.633929999999999</v>
      </c>
      <c r="BM9" s="67">
        <f ca="1">IFERROR(IF(ISNUMBER(BK9),INDEX('1.Locations'!E2:E32,BK9 + 1),NA()),NA())</f>
        <v>35.977221</v>
      </c>
      <c r="BN9" s="68">
        <f ca="1">IFERROR(IF(ISNUMBER(BK9),INDEX('2.Distances'!C2:C962,BK8*31+BK9+ 1) +BN8," ")," ")</f>
        <v>0.2389066581868802</v>
      </c>
      <c r="BO9" s="69">
        <f ca="1">IFERROR(IF(ISNUMBER(BK9),INDEX('2.Distances'!D2:D962,BK8*31+BK9 + 1) +BO8," ")," ")</f>
        <v>2.7777777777777779E-3</v>
      </c>
      <c r="BP9" s="70">
        <f ca="1">IFERROR(IF(ISNUMBER(BK9),INDEX('2.Distances'!D2:D962,BK8*31+BK9 + 1) +BQ8," ")," ")</f>
        <v>0.33611111111111108</v>
      </c>
      <c r="BQ9" s="70">
        <f ca="1">IFERROR(IF(AND(BK5&lt;&gt;BK9,ISNUMBER(BP9)),INDEX('1.Locations'!I2:I32,BK9 + 1) + MAX(BP9,INDEX('1.Locations'!F2:F32,BK9 + 1))," ")," ")</f>
        <v>0.33611111111111108</v>
      </c>
      <c r="BR9" s="69">
        <f ca="1">IFERROR(IF(BK5 = BK9, BP9 - BQ5, BQ9 - BQ5)," ")</f>
        <v>2.7777777777777679E-3</v>
      </c>
      <c r="BS9" s="67">
        <f ca="1">IFERROR(IF(ISNUMBER(BK9),INDEX('1.Locations'!L2:L32,BK9 + 1) + BS8," ")," ")</f>
        <v>0</v>
      </c>
      <c r="BT9" s="67">
        <f ca="1">IFERROR(IF(ISNUMBER(BK9),INDEX('1.Locations'!J2:J32,BK9 + 1)," ")," ")</f>
        <v>0</v>
      </c>
      <c r="BU9" s="67">
        <f ca="1">IFERROR(IF(ISNUMBER(BK9),INDEX('1.Locations'!K2:K32,BK9 + 1)," ")," ")</f>
        <v>516.69745331069612</v>
      </c>
      <c r="BV9" s="67">
        <f ca="1">IFERROR(IF(ISNUMBER(BK9),SUM(BT5:BT9) + SUM(BU10:BU36)," ")," ")</f>
        <v>49.054266614235154</v>
      </c>
      <c r="BX9" s="17">
        <v>4</v>
      </c>
      <c r="BY9" s="21"/>
      <c r="BZ9" s="67" t="str">
        <f ca="1">IFERROR(MATCH(INDIRECT("BY9"),'1.Locations'!B2:B32, 0) - 1," ")</f>
        <v xml:space="preserve"> </v>
      </c>
      <c r="CA9" s="67" t="e">
        <f ca="1">IFERROR(IF(ISNUMBER(BZ9),INDEX('1.Locations'!D2:D32,BZ9 + 1),NA()),NA())</f>
        <v>#N/A</v>
      </c>
      <c r="CB9" s="67" t="e">
        <f ca="1">IFERROR(IF(ISNUMBER(BZ9),INDEX('1.Locations'!E2:E32,BZ9 + 1),NA()),NA())</f>
        <v>#N/A</v>
      </c>
      <c r="CC9" s="68" t="str">
        <f ca="1">IFERROR(IF(ISNUMBER(BZ9),INDEX('2.Distances'!C2:C962,BZ8*31+BZ9+ 1) +CC8," ")," ")</f>
        <v xml:space="preserve"> </v>
      </c>
      <c r="CD9" s="69" t="str">
        <f ca="1">IFERROR(IF(ISNUMBER(BZ9),INDEX('2.Distances'!D2:D962,BZ8*31+BZ9 + 1) +CD8," ")," ")</f>
        <v xml:space="preserve"> </v>
      </c>
      <c r="CE9" s="70" t="str">
        <f ca="1">IFERROR(IF(ISNUMBER(BZ9),INDEX('2.Distances'!D2:D962,BZ8*31+BZ9 + 1) +CF8," ")," ")</f>
        <v xml:space="preserve"> </v>
      </c>
      <c r="CF9" s="70" t="str">
        <f ca="1">IFERROR(IF(AND(BZ5&lt;&gt;BZ9,ISNUMBER(CE9)),INDEX('1.Locations'!I2:I32,BZ9 + 1) + MAX(CE9,INDEX('1.Locations'!F2:F32,BZ9 + 1))," ")," ")</f>
        <v xml:space="preserve"> </v>
      </c>
      <c r="CG9" s="69" t="str">
        <f ca="1">IFERROR(IF(BZ5 = BZ9, CE9 - CF5, CF9 - CF5)," ")</f>
        <v xml:space="preserve"> </v>
      </c>
      <c r="CH9" s="67" t="str">
        <f ca="1">IFERROR(IF(ISNUMBER(BZ9),INDEX('1.Locations'!L2:L32,BZ9 + 1) + CH8," ")," ")</f>
        <v xml:space="preserve"> </v>
      </c>
      <c r="CI9" s="67" t="str">
        <f ca="1">IFERROR(IF(ISNUMBER(BZ9),INDEX('1.Locations'!J2:J32,BZ9 + 1)," ")," ")</f>
        <v xml:space="preserve"> </v>
      </c>
      <c r="CJ9" s="67" t="str">
        <f ca="1">IFERROR(IF(ISNUMBER(BZ9),INDEX('1.Locations'!K2:K32,BZ9 + 1)," ")," ")</f>
        <v xml:space="preserve"> </v>
      </c>
      <c r="CK9" s="67" t="str">
        <f ca="1">IFERROR(IF(ISNUMBER(BZ9),SUM(CI5:CI9) + SUM(CJ10:CJ36)," ")," ")</f>
        <v xml:space="preserve"> </v>
      </c>
      <c r="CM9" s="17">
        <v>4</v>
      </c>
      <c r="CN9" s="21"/>
      <c r="CO9" s="67" t="str">
        <f ca="1">IFERROR(MATCH(INDIRECT("CN9"),'1.Locations'!B2:B32, 0) - 1," ")</f>
        <v xml:space="preserve"> </v>
      </c>
      <c r="CP9" s="67" t="e">
        <f ca="1">IFERROR(IF(ISNUMBER(CO9),INDEX('1.Locations'!D2:D32,CO9 + 1),NA()),NA())</f>
        <v>#N/A</v>
      </c>
      <c r="CQ9" s="67" t="e">
        <f ca="1">IFERROR(IF(ISNUMBER(CO9),INDEX('1.Locations'!E2:E32,CO9 + 1),NA()),NA())</f>
        <v>#N/A</v>
      </c>
      <c r="CR9" s="68" t="str">
        <f ca="1">IFERROR(IF(ISNUMBER(CO9),INDEX('2.Distances'!C2:C962,CO8*31+CO9+ 1) +CR8," ")," ")</f>
        <v xml:space="preserve"> </v>
      </c>
      <c r="CS9" s="69" t="str">
        <f ca="1">IFERROR(IF(ISNUMBER(CO9),INDEX('2.Distances'!D2:D962,CO8*31+CO9 + 1) +CS8," ")," ")</f>
        <v xml:space="preserve"> </v>
      </c>
      <c r="CT9" s="70" t="str">
        <f ca="1">IFERROR(IF(ISNUMBER(CO9),INDEX('2.Distances'!D2:D962,CO8*31+CO9 + 1) +CU8," ")," ")</f>
        <v xml:space="preserve"> </v>
      </c>
      <c r="CU9" s="70" t="str">
        <f ca="1">IFERROR(IF(AND(CO5&lt;&gt;CO9,ISNUMBER(CT9)),INDEX('1.Locations'!I2:I32,CO9 + 1) + MAX(CT9,INDEX('1.Locations'!F2:F32,CO9 + 1))," ")," ")</f>
        <v xml:space="preserve"> </v>
      </c>
      <c r="CV9" s="69" t="str">
        <f ca="1">IFERROR(IF(CO5 = CO9, CT9 - CU5, CU9 - CU5)," ")</f>
        <v xml:space="preserve"> </v>
      </c>
      <c r="CW9" s="67" t="str">
        <f ca="1">IFERROR(IF(ISNUMBER(CO9),INDEX('1.Locations'!L2:L32,CO9 + 1) + CW8," ")," ")</f>
        <v xml:space="preserve"> </v>
      </c>
      <c r="CX9" s="67" t="str">
        <f ca="1">IFERROR(IF(ISNUMBER(CO9),INDEX('1.Locations'!J2:J32,CO9 + 1)," ")," ")</f>
        <v xml:space="preserve"> </v>
      </c>
      <c r="CY9" s="67" t="str">
        <f ca="1">IFERROR(IF(ISNUMBER(CO9),INDEX('1.Locations'!K2:K32,CO9 + 1)," ")," ")</f>
        <v xml:space="preserve"> </v>
      </c>
      <c r="CZ9" s="67" t="str">
        <f ca="1">IFERROR(IF(ISNUMBER(CO9),SUM(CX5:CX9) + SUM(CY10:CY36)," ")," ")</f>
        <v xml:space="preserve"> </v>
      </c>
      <c r="DB9" s="17">
        <v>4</v>
      </c>
      <c r="DC9" s="21"/>
      <c r="DD9" s="67" t="str">
        <f ca="1">IFERROR(MATCH(INDIRECT("DC9"),'1.Locations'!B2:B32, 0) - 1," ")</f>
        <v xml:space="preserve"> </v>
      </c>
      <c r="DE9" s="67" t="e">
        <f ca="1">IFERROR(IF(ISNUMBER(DD9),INDEX('1.Locations'!D2:D32,DD9 + 1),NA()),NA())</f>
        <v>#N/A</v>
      </c>
      <c r="DF9" s="67" t="e">
        <f ca="1">IFERROR(IF(ISNUMBER(DD9),INDEX('1.Locations'!E2:E32,DD9 + 1),NA()),NA())</f>
        <v>#N/A</v>
      </c>
      <c r="DG9" s="68" t="str">
        <f ca="1">IFERROR(IF(ISNUMBER(DD9),INDEX('2.Distances'!C2:C962,DD8*31+DD9+ 1) +DG8," ")," ")</f>
        <v xml:space="preserve"> </v>
      </c>
      <c r="DH9" s="69" t="str">
        <f ca="1">IFERROR(IF(ISNUMBER(DD9),INDEX('2.Distances'!D2:D962,DD8*31+DD9 + 1) +DH8," ")," ")</f>
        <v xml:space="preserve"> </v>
      </c>
      <c r="DI9" s="70" t="str">
        <f ca="1">IFERROR(IF(ISNUMBER(DD9),INDEX('2.Distances'!D2:D962,DD8*31+DD9 + 1) +DJ8," ")," ")</f>
        <v xml:space="preserve"> </v>
      </c>
      <c r="DJ9" s="70" t="str">
        <f ca="1">IFERROR(IF(AND(DD5&lt;&gt;DD9,ISNUMBER(DI9)),INDEX('1.Locations'!I2:I32,DD9 + 1) + MAX(DI9,INDEX('1.Locations'!F2:F32,DD9 + 1))," ")," ")</f>
        <v xml:space="preserve"> </v>
      </c>
      <c r="DK9" s="69" t="str">
        <f ca="1">IFERROR(IF(DD5 = DD9, DI9 - DJ5, DJ9 - DJ5)," ")</f>
        <v xml:space="preserve"> </v>
      </c>
      <c r="DL9" s="67" t="str">
        <f ca="1">IFERROR(IF(ISNUMBER(DD9),INDEX('1.Locations'!L2:L32,DD9 + 1) + DL8," ")," ")</f>
        <v xml:space="preserve"> </v>
      </c>
      <c r="DM9" s="67" t="str">
        <f ca="1">IFERROR(IF(ISNUMBER(DD9),INDEX('1.Locations'!J2:J32,DD9 + 1)," ")," ")</f>
        <v xml:space="preserve"> </v>
      </c>
      <c r="DN9" s="67" t="str">
        <f ca="1">IFERROR(IF(ISNUMBER(DD9),INDEX('1.Locations'!K2:K32,DD9 + 1)," ")," ")</f>
        <v xml:space="preserve"> </v>
      </c>
      <c r="DO9" s="67" t="str">
        <f ca="1">IFERROR(IF(ISNUMBER(DD9),SUM(DM5:DM9) + SUM(DN10:DN36)," ")," ")</f>
        <v xml:space="preserve"> </v>
      </c>
      <c r="DQ9" s="17">
        <v>4</v>
      </c>
      <c r="DR9" s="21"/>
      <c r="DS9" s="67" t="str">
        <f ca="1">IFERROR(MATCH(INDIRECT("DR9"),'1.Locations'!B2:B32, 0) - 1," ")</f>
        <v xml:space="preserve"> </v>
      </c>
      <c r="DT9" s="67" t="e">
        <f ca="1">IFERROR(IF(ISNUMBER(DS9),INDEX('1.Locations'!D2:D32,DS9 + 1),NA()),NA())</f>
        <v>#N/A</v>
      </c>
      <c r="DU9" s="67" t="e">
        <f ca="1">IFERROR(IF(ISNUMBER(DS9),INDEX('1.Locations'!E2:E32,DS9 + 1),NA()),NA())</f>
        <v>#N/A</v>
      </c>
      <c r="DV9" s="68" t="str">
        <f ca="1">IFERROR(IF(ISNUMBER(DS9),INDEX('2.Distances'!C2:C962,DS8*31+DS9+ 1) +DV8," ")," ")</f>
        <v xml:space="preserve"> </v>
      </c>
      <c r="DW9" s="69" t="str">
        <f ca="1">IFERROR(IF(ISNUMBER(DS9),INDEX('2.Distances'!D2:D962,DS8*31+DS9 + 1) +DW8," ")," ")</f>
        <v xml:space="preserve"> </v>
      </c>
      <c r="DX9" s="70" t="str">
        <f ca="1">IFERROR(IF(ISNUMBER(DS9),INDEX('2.Distances'!D2:D962,DS8*31+DS9 + 1) +DY8," ")," ")</f>
        <v xml:space="preserve"> </v>
      </c>
      <c r="DY9" s="70" t="str">
        <f ca="1">IFERROR(IF(AND(DS5&lt;&gt;DS9,ISNUMBER(DX9)),INDEX('1.Locations'!I2:I32,DS9 + 1) + MAX(DX9,INDEX('1.Locations'!F2:F32,DS9 + 1))," ")," ")</f>
        <v xml:space="preserve"> </v>
      </c>
      <c r="DZ9" s="69" t="str">
        <f ca="1">IFERROR(IF(DS5 = DS9, DX9 - DY5, DY9 - DY5)," ")</f>
        <v xml:space="preserve"> </v>
      </c>
      <c r="EA9" s="67" t="str">
        <f ca="1">IFERROR(IF(ISNUMBER(DS9),INDEX('1.Locations'!L2:L32,DS9 + 1) + EA8," ")," ")</f>
        <v xml:space="preserve"> </v>
      </c>
      <c r="EB9" s="67" t="str">
        <f ca="1">IFERROR(IF(ISNUMBER(DS9),INDEX('1.Locations'!J2:J32,DS9 + 1)," ")," ")</f>
        <v xml:space="preserve"> </v>
      </c>
      <c r="EC9" s="67" t="str">
        <f ca="1">IFERROR(IF(ISNUMBER(DS9),INDEX('1.Locations'!K2:K32,DS9 + 1)," ")," ")</f>
        <v xml:space="preserve"> </v>
      </c>
      <c r="ED9" s="67" t="str">
        <f ca="1">IFERROR(IF(ISNUMBER(DS9),SUM(EB5:EB9) + SUM(EC10:EC36)," ")," ")</f>
        <v xml:space="preserve"> </v>
      </c>
      <c r="EF9" s="17">
        <v>4</v>
      </c>
      <c r="EG9" s="21"/>
      <c r="EH9" s="67" t="str">
        <f ca="1">IFERROR(MATCH(INDIRECT("EG9"),'1.Locations'!B2:B32, 0) - 1," ")</f>
        <v xml:space="preserve"> </v>
      </c>
      <c r="EI9" s="67" t="e">
        <f ca="1">IFERROR(IF(ISNUMBER(EH9),INDEX('1.Locations'!D2:D32,EH9 + 1),NA()),NA())</f>
        <v>#N/A</v>
      </c>
      <c r="EJ9" s="67" t="e">
        <f ca="1">IFERROR(IF(ISNUMBER(EH9),INDEX('1.Locations'!E2:E32,EH9 + 1),NA()),NA())</f>
        <v>#N/A</v>
      </c>
      <c r="EK9" s="68" t="str">
        <f ca="1">IFERROR(IF(ISNUMBER(EH9),INDEX('2.Distances'!C2:C962,EH8*31+EH9+ 1) +EK8," ")," ")</f>
        <v xml:space="preserve"> </v>
      </c>
      <c r="EL9" s="69" t="str">
        <f ca="1">IFERROR(IF(ISNUMBER(EH9),INDEX('2.Distances'!D2:D962,EH8*31+EH9 + 1) +EL8," ")," ")</f>
        <v xml:space="preserve"> </v>
      </c>
      <c r="EM9" s="70" t="str">
        <f ca="1">IFERROR(IF(ISNUMBER(EH9),INDEX('2.Distances'!D2:D962,EH8*31+EH9 + 1) +EN8," ")," ")</f>
        <v xml:space="preserve"> </v>
      </c>
      <c r="EN9" s="70" t="str">
        <f ca="1">IFERROR(IF(AND(EH5&lt;&gt;EH9,ISNUMBER(EM9)),INDEX('1.Locations'!I2:I32,EH9 + 1) + MAX(EM9,INDEX('1.Locations'!F2:F32,EH9 + 1))," ")," ")</f>
        <v xml:space="preserve"> </v>
      </c>
      <c r="EO9" s="69" t="str">
        <f ca="1">IFERROR(IF(EH5 = EH9, EM9 - EN5, EN9 - EN5)," ")</f>
        <v xml:space="preserve"> </v>
      </c>
      <c r="EP9" s="67" t="str">
        <f ca="1">IFERROR(IF(ISNUMBER(EH9),INDEX('1.Locations'!L2:L32,EH9 + 1) + EP8," ")," ")</f>
        <v xml:space="preserve"> </v>
      </c>
      <c r="EQ9" s="67" t="str">
        <f ca="1">IFERROR(IF(ISNUMBER(EH9),INDEX('1.Locations'!J2:J32,EH9 + 1)," ")," ")</f>
        <v xml:space="preserve"> </v>
      </c>
      <c r="ER9" s="67" t="str">
        <f ca="1">IFERROR(IF(ISNUMBER(EH9),INDEX('1.Locations'!K2:K32,EH9 + 1)," ")," ")</f>
        <v xml:space="preserve"> </v>
      </c>
      <c r="ES9" s="67" t="str">
        <f ca="1">IFERROR(IF(ISNUMBER(EH9),SUM(EQ5:EQ9) + SUM(ER10:ER36)," ")," ")</f>
        <v xml:space="preserve"> </v>
      </c>
    </row>
    <row r="10" spans="1:149" x14ac:dyDescent="0.25">
      <c r="A10" s="17">
        <v>5</v>
      </c>
      <c r="B10" s="18" t="s">
        <v>79</v>
      </c>
      <c r="C10" s="67">
        <f ca="1">IFERROR(MATCH(INDIRECT("B10"),'1.Locations'!B2:B32, 0) - 1," ")</f>
        <v>22</v>
      </c>
      <c r="D10" s="67">
        <f ca="1">IFERROR(IF(ISNUMBER(C10),INDEX('1.Locations'!D2:D32,C10 + 1),NA()),NA())</f>
        <v>35.621943999999999</v>
      </c>
      <c r="E10" s="67">
        <f ca="1">IFERROR(IF(ISNUMBER(C10),INDEX('1.Locations'!E2:E32,C10 + 1),NA()),NA())</f>
        <v>35.980277999999998</v>
      </c>
      <c r="F10" s="68">
        <f ca="1">IFERROR(IF(ISNUMBER(C10),INDEX('2.Distances'!C2:C962,C9*31+C10+ 1) +F9," ")," ")</f>
        <v>0.30079834789526605</v>
      </c>
      <c r="G10" s="69">
        <f ca="1">IFERROR(IF(ISNUMBER(C10),INDEX('2.Distances'!D2:D962,C9*31+C10 + 1) +G9," ")," ")</f>
        <v>3.4722222222222225E-3</v>
      </c>
      <c r="H10" s="70">
        <f ca="1">IFERROR(IF(ISNUMBER(C10),INDEX('2.Distances'!D2:D962,C9*31+C10 + 1) +I9," ")," ")</f>
        <v>0.33680555555555552</v>
      </c>
      <c r="I10" s="70">
        <f ca="1">IFERROR(IF(AND(C5&lt;&gt;C10,ISNUMBER(H10)),INDEX('1.Locations'!I2:I32,C10 + 1) + MAX(H10,INDEX('1.Locations'!F2:F32,C10 + 1))," ")," ")</f>
        <v>0.33680555555555552</v>
      </c>
      <c r="J10" s="69">
        <f ca="1">IFERROR(IF(C5 = C10, H10 - I5, I10 - I5)," ")</f>
        <v>3.4722222222222099E-3</v>
      </c>
      <c r="K10" s="67">
        <f ca="1">IFERROR(IF(ISNUMBER(C10),INDEX('1.Locations'!L2:L32,C10 + 1) + K9," ")," ")</f>
        <v>0</v>
      </c>
      <c r="L10" s="67">
        <f ca="1">IFERROR(IF(ISNUMBER(C10),INDEX('1.Locations'!J2:J32,C10 + 1)," ")," ")</f>
        <v>0</v>
      </c>
      <c r="M10" s="67">
        <f ca="1">IFERROR(IF(ISNUMBER(C10),INDEX('1.Locations'!K2:K32,C10 + 1)," ")," ")</f>
        <v>231.60047188360204</v>
      </c>
      <c r="N10" s="67">
        <f ca="1">IFERROR(IF(ISNUMBER(C10),SUM(L5:L10) + SUM(M11:M36)," ")," ")</f>
        <v>220.34211561148248</v>
      </c>
      <c r="P10" s="17">
        <v>5</v>
      </c>
      <c r="Q10" s="18"/>
      <c r="R10" s="67" t="str">
        <f ca="1">IFERROR(MATCH(INDIRECT("Q10"),'1.Locations'!B2:B32, 0) - 1," ")</f>
        <v xml:space="preserve"> </v>
      </c>
      <c r="S10" s="67" t="e">
        <f ca="1">IFERROR(IF(ISNUMBER(R10),INDEX('1.Locations'!D2:D32,R10 + 1),NA()),NA())</f>
        <v>#N/A</v>
      </c>
      <c r="T10" s="67" t="e">
        <f ca="1">IFERROR(IF(ISNUMBER(R10),INDEX('1.Locations'!E2:E32,R10 + 1),NA()),NA())</f>
        <v>#N/A</v>
      </c>
      <c r="U10" s="68" t="str">
        <f ca="1">IFERROR(IF(ISNUMBER(R10),INDEX('2.Distances'!C2:C962,R9*31+R10+ 1) +U9," ")," ")</f>
        <v xml:space="preserve"> </v>
      </c>
      <c r="V10" s="69" t="str">
        <f ca="1">IFERROR(IF(ISNUMBER(R10),INDEX('2.Distances'!D2:D962,R9*31+R10 + 1) +V9," ")," ")</f>
        <v xml:space="preserve"> </v>
      </c>
      <c r="W10" s="70" t="str">
        <f ca="1">IFERROR(IF(ISNUMBER(R10),INDEX('2.Distances'!D2:D962,R9*31+R10 + 1) +X9," ")," ")</f>
        <v xml:space="preserve"> </v>
      </c>
      <c r="X10" s="70" t="str">
        <f ca="1">IFERROR(IF(AND(R5&lt;&gt;R10,ISNUMBER(W10)),INDEX('1.Locations'!I2:I32,R10 + 1) + MAX(W10,INDEX('1.Locations'!F2:F32,R10 + 1))," ")," ")</f>
        <v xml:space="preserve"> </v>
      </c>
      <c r="Y10" s="69" t="str">
        <f ca="1">IFERROR(IF(R5 = R10, W10 - X5, X10 - X5)," ")</f>
        <v xml:space="preserve"> </v>
      </c>
      <c r="Z10" s="67" t="str">
        <f ca="1">IFERROR(IF(ISNUMBER(R10),INDEX('1.Locations'!L2:L32,R10 + 1) + Z9," ")," ")</f>
        <v xml:space="preserve"> </v>
      </c>
      <c r="AA10" s="67" t="str">
        <f ca="1">IFERROR(IF(ISNUMBER(R10),INDEX('1.Locations'!J2:J32,R10 + 1)," ")," ")</f>
        <v xml:space="preserve"> </v>
      </c>
      <c r="AB10" s="67" t="str">
        <f ca="1">IFERROR(IF(ISNUMBER(R10),INDEX('1.Locations'!K2:K32,R10 + 1)," ")," ")</f>
        <v xml:space="preserve"> </v>
      </c>
      <c r="AC10" s="67" t="str">
        <f ca="1">IFERROR(IF(ISNUMBER(R10),SUM(AA5:AA10) + SUM(AB11:AB36)," ")," ")</f>
        <v xml:space="preserve"> </v>
      </c>
      <c r="AE10" s="17">
        <v>5</v>
      </c>
      <c r="AF10" s="18" t="s">
        <v>86</v>
      </c>
      <c r="AG10" s="67">
        <f ca="1">IFERROR(MATCH(INDIRECT("AF10"),'1.Locations'!B2:B32, 0) - 1," ")</f>
        <v>29</v>
      </c>
      <c r="AH10" s="67">
        <f ca="1">IFERROR(IF(ISNUMBER(AG10),INDEX('1.Locations'!D2:D32,AG10 + 1),NA()),NA())</f>
        <v>35.667158000000001</v>
      </c>
      <c r="AI10" s="67">
        <f ca="1">IFERROR(IF(ISNUMBER(AG10),INDEX('1.Locations'!E2:E32,AG10 + 1),NA()),NA())</f>
        <v>35.899811999999997</v>
      </c>
      <c r="AJ10" s="68">
        <f ca="1">IFERROR(IF(ISNUMBER(AG10),INDEX('2.Distances'!C2:C962,AG9*31+AG10+ 1) +AJ9," ")," ")</f>
        <v>0.23102492048315093</v>
      </c>
      <c r="AK10" s="69">
        <f ca="1">IFERROR(IF(ISNUMBER(AG10),INDEX('2.Distances'!D2:D962,AG9*31+AG10 + 1) +AK9," ")," ")</f>
        <v>3.4722222222222225E-3</v>
      </c>
      <c r="AL10" s="70">
        <f ca="1">IFERROR(IF(ISNUMBER(AG10),INDEX('2.Distances'!D2:D962,AG9*31+AG10 + 1) +AM9," ")," ")</f>
        <v>0.33680555555555552</v>
      </c>
      <c r="AM10" s="70">
        <f ca="1">IFERROR(IF(AND(AG5&lt;&gt;AG10,ISNUMBER(AL10)),INDEX('1.Locations'!I2:I32,AG10 + 1) + MAX(AL10,INDEX('1.Locations'!F2:F32,AG10 + 1))," ")," ")</f>
        <v>0.33680555555555552</v>
      </c>
      <c r="AN10" s="69">
        <f ca="1">IFERROR(IF(AG5 = AG10, AL10 - AM5, AM10 - AM5)," ")</f>
        <v>3.4722222222222099E-3</v>
      </c>
      <c r="AO10" s="67">
        <f ca="1">IFERROR(IF(ISNUMBER(AG10),INDEX('1.Locations'!L2:L32,AG10 + 1) + AO9," ")," ")</f>
        <v>0</v>
      </c>
      <c r="AP10" s="67">
        <f ca="1">IFERROR(IF(ISNUMBER(AG10),INDEX('1.Locations'!J2:J32,AG10 + 1)," ")," ")</f>
        <v>0</v>
      </c>
      <c r="AQ10" s="67">
        <f ca="1">IFERROR(IF(ISNUMBER(AG10),INDEX('1.Locations'!K2:K32,AG10 + 1)," ")," ")</f>
        <v>252.04753820033955</v>
      </c>
      <c r="AR10" s="67">
        <f ca="1">IFERROR(IF(ISNUMBER(AG10),SUM(AP5:AP10) + SUM(AQ11:AQ36)," ")," ")</f>
        <v>372.0335948759078</v>
      </c>
      <c r="AT10" s="17">
        <v>5</v>
      </c>
      <c r="AU10" s="18" t="s">
        <v>55</v>
      </c>
      <c r="AV10" s="67">
        <f ca="1">IFERROR(MATCH(INDIRECT("AU10"),'1.Locations'!B2:B32, 0) - 1," ")</f>
        <v>0</v>
      </c>
      <c r="AW10" s="67">
        <f ca="1">IFERROR(IF(ISNUMBER(AV10),INDEX('1.Locations'!D2:D32,AV10 + 1),NA()),NA())</f>
        <v>35.53</v>
      </c>
      <c r="AX10" s="67">
        <f ca="1">IFERROR(IF(ISNUMBER(AV10),INDEX('1.Locations'!E2:E32,AV10 + 1),NA()),NA())</f>
        <v>35.770000000000003</v>
      </c>
      <c r="AY10" s="68">
        <f ca="1">IFERROR(IF(ISNUMBER(AV10),INDEX('2.Distances'!C2:C962,AV9*31+AV10+ 1) +AY9," ")," ")</f>
        <v>0.29567345179089738</v>
      </c>
      <c r="AZ10" s="69">
        <f ca="1">IFERROR(IF(ISNUMBER(AV10),INDEX('2.Distances'!D2:D962,AV9*31+AV10 + 1) +AZ9," ")," ")</f>
        <v>3.4722222222222225E-3</v>
      </c>
      <c r="BA10" s="70">
        <f ca="1">IFERROR(IF(ISNUMBER(AV10),INDEX('2.Distances'!D2:D962,AV9*31+AV10 + 1) +BB9," ")," ")</f>
        <v>0.33680555555555552</v>
      </c>
      <c r="BB10" s="70" t="str">
        <f ca="1">IFERROR(IF(AND(AV5&lt;&gt;AV10,ISNUMBER(BA10)),INDEX('1.Locations'!I2:I32,AV10 + 1) + MAX(BA10,INDEX('1.Locations'!F2:F32,AV10 + 1))," ")," ")</f>
        <v xml:space="preserve"> </v>
      </c>
      <c r="BC10" s="69">
        <f ca="1">IFERROR(IF(AV5 = AV10, BA10 - BB5, BB10 - BB5)," ")</f>
        <v>3.4722222222222099E-3</v>
      </c>
      <c r="BD10" s="67">
        <f ca="1">IFERROR(IF(ISNUMBER(AV10),INDEX('1.Locations'!L2:L32,AV10 + 1) + BD9," ")," ")</f>
        <v>0</v>
      </c>
      <c r="BE10" s="67">
        <f ca="1">IFERROR(IF(ISNUMBER(AV10),INDEX('1.Locations'!J2:J32,AV10 + 1)," ")," ")</f>
        <v>0</v>
      </c>
      <c r="BF10" s="67">
        <f ca="1">IFERROR(IF(ISNUMBER(AV10),INDEX('1.Locations'!K2:K32,AV10 + 1)," ")," ")</f>
        <v>0</v>
      </c>
      <c r="BG10" s="67">
        <f ca="1">IFERROR(IF(ISNUMBER(AV10),SUM(BE5:BE10) + SUM(BF11:BF36)," ")," ")</f>
        <v>0</v>
      </c>
      <c r="BI10" s="17">
        <v>5</v>
      </c>
      <c r="BJ10" s="18" t="s">
        <v>73</v>
      </c>
      <c r="BK10" s="67">
        <f ca="1">IFERROR(MATCH(INDIRECT("BJ10"),'1.Locations'!B2:B32, 0) - 1," ")</f>
        <v>16</v>
      </c>
      <c r="BL10" s="67">
        <f ca="1">IFERROR(IF(ISNUMBER(BK10),INDEX('1.Locations'!D2:D32,BK10 + 1),NA()),NA())</f>
        <v>35.595556000000002</v>
      </c>
      <c r="BM10" s="67">
        <f ca="1">IFERROR(IF(ISNUMBER(BK10),INDEX('1.Locations'!E2:E32,BK10 + 1),NA()),NA())</f>
        <v>35.893332999999998</v>
      </c>
      <c r="BN10" s="68">
        <f ca="1">IFERROR(IF(ISNUMBER(BK10),INDEX('2.Distances'!C2:C962,BK9*31+BK10+ 1) +BN9," ")," ")</f>
        <v>0.33115502088237792</v>
      </c>
      <c r="BO10" s="69">
        <f ca="1">IFERROR(IF(ISNUMBER(BK10),INDEX('2.Distances'!D2:D962,BK9*31+BK10 + 1) +BO9," ")," ")</f>
        <v>3.4722222222222225E-3</v>
      </c>
      <c r="BP10" s="70">
        <f ca="1">IFERROR(IF(ISNUMBER(BK10),INDEX('2.Distances'!D2:D962,BK9*31+BK10 + 1) +BQ9," ")," ")</f>
        <v>0.33680555555555552</v>
      </c>
      <c r="BQ10" s="70">
        <f ca="1">IFERROR(IF(AND(BK5&lt;&gt;BK10,ISNUMBER(BP10)),INDEX('1.Locations'!I2:I32,BK10 + 1) + MAX(BP10,INDEX('1.Locations'!F2:F32,BK10 + 1))," ")," ")</f>
        <v>0.33680555555555552</v>
      </c>
      <c r="BR10" s="69">
        <f ca="1">IFERROR(IF(BK5 = BK10, BP10 - BQ5, BQ10 - BQ5)," ")</f>
        <v>3.4722222222222099E-3</v>
      </c>
      <c r="BS10" s="67">
        <f ca="1">IFERROR(IF(ISNUMBER(BK10),INDEX('1.Locations'!L2:L32,BK10 + 1) + BS9," ")," ")</f>
        <v>0</v>
      </c>
      <c r="BT10" s="67">
        <f ca="1">IFERROR(IF(ISNUMBER(BK10),INDEX('1.Locations'!J2:J32,BK10 + 1)," ")," ")</f>
        <v>0</v>
      </c>
      <c r="BU10" s="67">
        <f ca="1">IFERROR(IF(ISNUMBER(BK10),INDEX('1.Locations'!K2:K32,BK10 + 1)," ")," ")</f>
        <v>49.054266614235154</v>
      </c>
      <c r="BV10" s="67">
        <f ca="1">IFERROR(IF(ISNUMBER(BK10),SUM(BT5:BT10) + SUM(BU11:BU36)," ")," ")</f>
        <v>0</v>
      </c>
      <c r="BX10" s="17">
        <v>5</v>
      </c>
      <c r="BY10" s="18"/>
      <c r="BZ10" s="67" t="str">
        <f ca="1">IFERROR(MATCH(INDIRECT("BY10"),'1.Locations'!B2:B32, 0) - 1," ")</f>
        <v xml:space="preserve"> </v>
      </c>
      <c r="CA10" s="67" t="e">
        <f ca="1">IFERROR(IF(ISNUMBER(BZ10),INDEX('1.Locations'!D2:D32,BZ10 + 1),NA()),NA())</f>
        <v>#N/A</v>
      </c>
      <c r="CB10" s="67" t="e">
        <f ca="1">IFERROR(IF(ISNUMBER(BZ10),INDEX('1.Locations'!E2:E32,BZ10 + 1),NA()),NA())</f>
        <v>#N/A</v>
      </c>
      <c r="CC10" s="68" t="str">
        <f ca="1">IFERROR(IF(ISNUMBER(BZ10),INDEX('2.Distances'!C2:C962,BZ9*31+BZ10+ 1) +CC9," ")," ")</f>
        <v xml:space="preserve"> </v>
      </c>
      <c r="CD10" s="69" t="str">
        <f ca="1">IFERROR(IF(ISNUMBER(BZ10),INDEX('2.Distances'!D2:D962,BZ9*31+BZ10 + 1) +CD9," ")," ")</f>
        <v xml:space="preserve"> </v>
      </c>
      <c r="CE10" s="70" t="str">
        <f ca="1">IFERROR(IF(ISNUMBER(BZ10),INDEX('2.Distances'!D2:D962,BZ9*31+BZ10 + 1) +CF9," ")," ")</f>
        <v xml:space="preserve"> </v>
      </c>
      <c r="CF10" s="70" t="str">
        <f ca="1">IFERROR(IF(AND(BZ5&lt;&gt;BZ10,ISNUMBER(CE10)),INDEX('1.Locations'!I2:I32,BZ10 + 1) + MAX(CE10,INDEX('1.Locations'!F2:F32,BZ10 + 1))," ")," ")</f>
        <v xml:space="preserve"> </v>
      </c>
      <c r="CG10" s="69" t="str">
        <f ca="1">IFERROR(IF(BZ5 = BZ10, CE10 - CF5, CF10 - CF5)," ")</f>
        <v xml:space="preserve"> </v>
      </c>
      <c r="CH10" s="67" t="str">
        <f ca="1">IFERROR(IF(ISNUMBER(BZ10),INDEX('1.Locations'!L2:L32,BZ10 + 1) + CH9," ")," ")</f>
        <v xml:space="preserve"> </v>
      </c>
      <c r="CI10" s="67" t="str">
        <f ca="1">IFERROR(IF(ISNUMBER(BZ10),INDEX('1.Locations'!J2:J32,BZ10 + 1)," ")," ")</f>
        <v xml:space="preserve"> </v>
      </c>
      <c r="CJ10" s="67" t="str">
        <f ca="1">IFERROR(IF(ISNUMBER(BZ10),INDEX('1.Locations'!K2:K32,BZ10 + 1)," ")," ")</f>
        <v xml:space="preserve"> </v>
      </c>
      <c r="CK10" s="67" t="str">
        <f ca="1">IFERROR(IF(ISNUMBER(BZ10),SUM(CI5:CI10) + SUM(CJ11:CJ36)," ")," ")</f>
        <v xml:space="preserve"> </v>
      </c>
      <c r="CM10" s="17">
        <v>5</v>
      </c>
      <c r="CN10" s="18"/>
      <c r="CO10" s="67" t="str">
        <f ca="1">IFERROR(MATCH(INDIRECT("CN10"),'1.Locations'!B2:B32, 0) - 1," ")</f>
        <v xml:space="preserve"> </v>
      </c>
      <c r="CP10" s="67" t="e">
        <f ca="1">IFERROR(IF(ISNUMBER(CO10),INDEX('1.Locations'!D2:D32,CO10 + 1),NA()),NA())</f>
        <v>#N/A</v>
      </c>
      <c r="CQ10" s="67" t="e">
        <f ca="1">IFERROR(IF(ISNUMBER(CO10),INDEX('1.Locations'!E2:E32,CO10 + 1),NA()),NA())</f>
        <v>#N/A</v>
      </c>
      <c r="CR10" s="68" t="str">
        <f ca="1">IFERROR(IF(ISNUMBER(CO10),INDEX('2.Distances'!C2:C962,CO9*31+CO10+ 1) +CR9," ")," ")</f>
        <v xml:space="preserve"> </v>
      </c>
      <c r="CS10" s="69" t="str">
        <f ca="1">IFERROR(IF(ISNUMBER(CO10),INDEX('2.Distances'!D2:D962,CO9*31+CO10 + 1) +CS9," ")," ")</f>
        <v xml:space="preserve"> </v>
      </c>
      <c r="CT10" s="70" t="str">
        <f ca="1">IFERROR(IF(ISNUMBER(CO10),INDEX('2.Distances'!D2:D962,CO9*31+CO10 + 1) +CU9," ")," ")</f>
        <v xml:space="preserve"> </v>
      </c>
      <c r="CU10" s="70" t="str">
        <f ca="1">IFERROR(IF(AND(CO5&lt;&gt;CO10,ISNUMBER(CT10)),INDEX('1.Locations'!I2:I32,CO10 + 1) + MAX(CT10,INDEX('1.Locations'!F2:F32,CO10 + 1))," ")," ")</f>
        <v xml:space="preserve"> </v>
      </c>
      <c r="CV10" s="69" t="str">
        <f ca="1">IFERROR(IF(CO5 = CO10, CT10 - CU5, CU10 - CU5)," ")</f>
        <v xml:space="preserve"> </v>
      </c>
      <c r="CW10" s="67" t="str">
        <f ca="1">IFERROR(IF(ISNUMBER(CO10),INDEX('1.Locations'!L2:L32,CO10 + 1) + CW9," ")," ")</f>
        <v xml:space="preserve"> </v>
      </c>
      <c r="CX10" s="67" t="str">
        <f ca="1">IFERROR(IF(ISNUMBER(CO10),INDEX('1.Locations'!J2:J32,CO10 + 1)," ")," ")</f>
        <v xml:space="preserve"> </v>
      </c>
      <c r="CY10" s="67" t="str">
        <f ca="1">IFERROR(IF(ISNUMBER(CO10),INDEX('1.Locations'!K2:K32,CO10 + 1)," ")," ")</f>
        <v xml:space="preserve"> </v>
      </c>
      <c r="CZ10" s="67" t="str">
        <f ca="1">IFERROR(IF(ISNUMBER(CO10),SUM(CX5:CX10) + SUM(CY11:CY36)," ")," ")</f>
        <v xml:space="preserve"> </v>
      </c>
      <c r="DB10" s="17">
        <v>5</v>
      </c>
      <c r="DC10" s="18"/>
      <c r="DD10" s="67" t="str">
        <f ca="1">IFERROR(MATCH(INDIRECT("DC10"),'1.Locations'!B2:B32, 0) - 1," ")</f>
        <v xml:space="preserve"> </v>
      </c>
      <c r="DE10" s="67" t="e">
        <f ca="1">IFERROR(IF(ISNUMBER(DD10),INDEX('1.Locations'!D2:D32,DD10 + 1),NA()),NA())</f>
        <v>#N/A</v>
      </c>
      <c r="DF10" s="67" t="e">
        <f ca="1">IFERROR(IF(ISNUMBER(DD10),INDEX('1.Locations'!E2:E32,DD10 + 1),NA()),NA())</f>
        <v>#N/A</v>
      </c>
      <c r="DG10" s="68" t="str">
        <f ca="1">IFERROR(IF(ISNUMBER(DD10),INDEX('2.Distances'!C2:C962,DD9*31+DD10+ 1) +DG9," ")," ")</f>
        <v xml:space="preserve"> </v>
      </c>
      <c r="DH10" s="69" t="str">
        <f ca="1">IFERROR(IF(ISNUMBER(DD10),INDEX('2.Distances'!D2:D962,DD9*31+DD10 + 1) +DH9," ")," ")</f>
        <v xml:space="preserve"> </v>
      </c>
      <c r="DI10" s="70" t="str">
        <f ca="1">IFERROR(IF(ISNUMBER(DD10),INDEX('2.Distances'!D2:D962,DD9*31+DD10 + 1) +DJ9," ")," ")</f>
        <v xml:space="preserve"> </v>
      </c>
      <c r="DJ10" s="70" t="str">
        <f ca="1">IFERROR(IF(AND(DD5&lt;&gt;DD10,ISNUMBER(DI10)),INDEX('1.Locations'!I2:I32,DD10 + 1) + MAX(DI10,INDEX('1.Locations'!F2:F32,DD10 + 1))," ")," ")</f>
        <v xml:space="preserve"> </v>
      </c>
      <c r="DK10" s="69" t="str">
        <f ca="1">IFERROR(IF(DD5 = DD10, DI10 - DJ5, DJ10 - DJ5)," ")</f>
        <v xml:space="preserve"> </v>
      </c>
      <c r="DL10" s="67" t="str">
        <f ca="1">IFERROR(IF(ISNUMBER(DD10),INDEX('1.Locations'!L2:L32,DD10 + 1) + DL9," ")," ")</f>
        <v xml:space="preserve"> </v>
      </c>
      <c r="DM10" s="67" t="str">
        <f ca="1">IFERROR(IF(ISNUMBER(DD10),INDEX('1.Locations'!J2:J32,DD10 + 1)," ")," ")</f>
        <v xml:space="preserve"> </v>
      </c>
      <c r="DN10" s="67" t="str">
        <f ca="1">IFERROR(IF(ISNUMBER(DD10),INDEX('1.Locations'!K2:K32,DD10 + 1)," ")," ")</f>
        <v xml:space="preserve"> </v>
      </c>
      <c r="DO10" s="67" t="str">
        <f ca="1">IFERROR(IF(ISNUMBER(DD10),SUM(DM5:DM10) + SUM(DN11:DN36)," ")," ")</f>
        <v xml:space="preserve"> </v>
      </c>
      <c r="DQ10" s="17">
        <v>5</v>
      </c>
      <c r="DR10" s="18"/>
      <c r="DS10" s="67" t="str">
        <f ca="1">IFERROR(MATCH(INDIRECT("DR10"),'1.Locations'!B2:B32, 0) - 1," ")</f>
        <v xml:space="preserve"> </v>
      </c>
      <c r="DT10" s="67" t="e">
        <f ca="1">IFERROR(IF(ISNUMBER(DS10),INDEX('1.Locations'!D2:D32,DS10 + 1),NA()),NA())</f>
        <v>#N/A</v>
      </c>
      <c r="DU10" s="67" t="e">
        <f ca="1">IFERROR(IF(ISNUMBER(DS10),INDEX('1.Locations'!E2:E32,DS10 + 1),NA()),NA())</f>
        <v>#N/A</v>
      </c>
      <c r="DV10" s="68" t="str">
        <f ca="1">IFERROR(IF(ISNUMBER(DS10),INDEX('2.Distances'!C2:C962,DS9*31+DS10+ 1) +DV9," ")," ")</f>
        <v xml:space="preserve"> </v>
      </c>
      <c r="DW10" s="69" t="str">
        <f ca="1">IFERROR(IF(ISNUMBER(DS10),INDEX('2.Distances'!D2:D962,DS9*31+DS10 + 1) +DW9," ")," ")</f>
        <v xml:space="preserve"> </v>
      </c>
      <c r="DX10" s="70" t="str">
        <f ca="1">IFERROR(IF(ISNUMBER(DS10),INDEX('2.Distances'!D2:D962,DS9*31+DS10 + 1) +DY9," ")," ")</f>
        <v xml:space="preserve"> </v>
      </c>
      <c r="DY10" s="70" t="str">
        <f ca="1">IFERROR(IF(AND(DS5&lt;&gt;DS10,ISNUMBER(DX10)),INDEX('1.Locations'!I2:I32,DS10 + 1) + MAX(DX10,INDEX('1.Locations'!F2:F32,DS10 + 1))," ")," ")</f>
        <v xml:space="preserve"> </v>
      </c>
      <c r="DZ10" s="69" t="str">
        <f ca="1">IFERROR(IF(DS5 = DS10, DX10 - DY5, DY10 - DY5)," ")</f>
        <v xml:space="preserve"> </v>
      </c>
      <c r="EA10" s="67" t="str">
        <f ca="1">IFERROR(IF(ISNUMBER(DS10),INDEX('1.Locations'!L2:L32,DS10 + 1) + EA9," ")," ")</f>
        <v xml:space="preserve"> </v>
      </c>
      <c r="EB10" s="67" t="str">
        <f ca="1">IFERROR(IF(ISNUMBER(DS10),INDEX('1.Locations'!J2:J32,DS10 + 1)," ")," ")</f>
        <v xml:space="preserve"> </v>
      </c>
      <c r="EC10" s="67" t="str">
        <f ca="1">IFERROR(IF(ISNUMBER(DS10),INDEX('1.Locations'!K2:K32,DS10 + 1)," ")," ")</f>
        <v xml:space="preserve"> </v>
      </c>
      <c r="ED10" s="67" t="str">
        <f ca="1">IFERROR(IF(ISNUMBER(DS10),SUM(EB5:EB10) + SUM(EC11:EC36)," ")," ")</f>
        <v xml:space="preserve"> </v>
      </c>
      <c r="EF10" s="17">
        <v>5</v>
      </c>
      <c r="EG10" s="18"/>
      <c r="EH10" s="67" t="str">
        <f ca="1">IFERROR(MATCH(INDIRECT("EG10"),'1.Locations'!B2:B32, 0) - 1," ")</f>
        <v xml:space="preserve"> </v>
      </c>
      <c r="EI10" s="67" t="e">
        <f ca="1">IFERROR(IF(ISNUMBER(EH10),INDEX('1.Locations'!D2:D32,EH10 + 1),NA()),NA())</f>
        <v>#N/A</v>
      </c>
      <c r="EJ10" s="67" t="e">
        <f ca="1">IFERROR(IF(ISNUMBER(EH10),INDEX('1.Locations'!E2:E32,EH10 + 1),NA()),NA())</f>
        <v>#N/A</v>
      </c>
      <c r="EK10" s="68" t="str">
        <f ca="1">IFERROR(IF(ISNUMBER(EH10),INDEX('2.Distances'!C2:C962,EH9*31+EH10+ 1) +EK9," ")," ")</f>
        <v xml:space="preserve"> </v>
      </c>
      <c r="EL10" s="69" t="str">
        <f ca="1">IFERROR(IF(ISNUMBER(EH10),INDEX('2.Distances'!D2:D962,EH9*31+EH10 + 1) +EL9," ")," ")</f>
        <v xml:space="preserve"> </v>
      </c>
      <c r="EM10" s="70" t="str">
        <f ca="1">IFERROR(IF(ISNUMBER(EH10),INDEX('2.Distances'!D2:D962,EH9*31+EH10 + 1) +EN9," ")," ")</f>
        <v xml:space="preserve"> </v>
      </c>
      <c r="EN10" s="70" t="str">
        <f ca="1">IFERROR(IF(AND(EH5&lt;&gt;EH10,ISNUMBER(EM10)),INDEX('1.Locations'!I2:I32,EH10 + 1) + MAX(EM10,INDEX('1.Locations'!F2:F32,EH10 + 1))," ")," ")</f>
        <v xml:space="preserve"> </v>
      </c>
      <c r="EO10" s="69" t="str">
        <f ca="1">IFERROR(IF(EH5 = EH10, EM10 - EN5, EN10 - EN5)," ")</f>
        <v xml:space="preserve"> </v>
      </c>
      <c r="EP10" s="67" t="str">
        <f ca="1">IFERROR(IF(ISNUMBER(EH10),INDEX('1.Locations'!L2:L32,EH10 + 1) + EP9," ")," ")</f>
        <v xml:space="preserve"> </v>
      </c>
      <c r="EQ10" s="67" t="str">
        <f ca="1">IFERROR(IF(ISNUMBER(EH10),INDEX('1.Locations'!J2:J32,EH10 + 1)," ")," ")</f>
        <v xml:space="preserve"> </v>
      </c>
      <c r="ER10" s="67" t="str">
        <f ca="1">IFERROR(IF(ISNUMBER(EH10),INDEX('1.Locations'!K2:K32,EH10 + 1)," ")," ")</f>
        <v xml:space="preserve"> </v>
      </c>
      <c r="ES10" s="67" t="str">
        <f ca="1">IFERROR(IF(ISNUMBER(EH10),SUM(EQ5:EQ10) + SUM(ER11:ER36)," ")," ")</f>
        <v xml:space="preserve"> </v>
      </c>
    </row>
    <row r="11" spans="1:149" x14ac:dyDescent="0.25">
      <c r="A11" s="17">
        <v>6</v>
      </c>
      <c r="B11" s="21" t="s">
        <v>77</v>
      </c>
      <c r="C11" s="67">
        <f ca="1">IFERROR(MATCH(INDIRECT("B11"),'1.Locations'!B2:B32, 0) - 1," ")</f>
        <v>20</v>
      </c>
      <c r="D11" s="67">
        <f ca="1">IFERROR(IF(ISNUMBER(C11),INDEX('1.Locations'!D2:D32,C11 + 1),NA()),NA())</f>
        <v>35.591667000000001</v>
      </c>
      <c r="E11" s="67">
        <f ca="1">IFERROR(IF(ISNUMBER(C11),INDEX('1.Locations'!E2:E32,C11 + 1),NA()),NA())</f>
        <v>35.912500000000001</v>
      </c>
      <c r="F11" s="68">
        <f ca="1">IFERROR(IF(ISNUMBER(C11),INDEX('2.Distances'!C2:C962,C10*31+C11+ 1) +F10," ")," ")</f>
        <v>0.37503145380495762</v>
      </c>
      <c r="G11" s="69">
        <f ca="1">IFERROR(IF(ISNUMBER(C11),INDEX('2.Distances'!D2:D962,C10*31+C11 + 1) +G10," ")," ")</f>
        <v>4.1666666666666666E-3</v>
      </c>
      <c r="H11" s="70">
        <f ca="1">IFERROR(IF(ISNUMBER(C11),INDEX('2.Distances'!D2:D962,C10*31+C11 + 1) +I10," ")," ")</f>
        <v>0.33749999999999997</v>
      </c>
      <c r="I11" s="70">
        <f ca="1">IFERROR(IF(AND(C5&lt;&gt;C11,ISNUMBER(H11)),INDEX('1.Locations'!I2:I32,C11 + 1) + MAX(H11,INDEX('1.Locations'!F2:F32,C11 + 1))," ")," ")</f>
        <v>0.33749999999999997</v>
      </c>
      <c r="J11" s="69">
        <f ca="1">IFERROR(IF(C5 = C11, H11 - I5, I11 - I5)," ")</f>
        <v>4.1666666666666519E-3</v>
      </c>
      <c r="K11" s="67">
        <f ca="1">IFERROR(IF(ISNUMBER(C11),INDEX('1.Locations'!L2:L32,C11 + 1) + K10," ")," ")</f>
        <v>0</v>
      </c>
      <c r="L11" s="67">
        <f ca="1">IFERROR(IF(ISNUMBER(C11),INDEX('1.Locations'!J2:J32,C11 + 1)," ")," ")</f>
        <v>0</v>
      </c>
      <c r="M11" s="67">
        <f ca="1">IFERROR(IF(ISNUMBER(C11),INDEX('1.Locations'!K2:K32,C11 + 1)," ")," ")</f>
        <v>62.725127801808881</v>
      </c>
      <c r="N11" s="67">
        <f ca="1">IFERROR(IF(ISNUMBER(C11),SUM(L5:L11) + SUM(M12:M36)," ")," ")</f>
        <v>157.61698780967362</v>
      </c>
      <c r="P11" s="17">
        <v>6</v>
      </c>
      <c r="Q11" s="21"/>
      <c r="R11" s="67" t="str">
        <f ca="1">IFERROR(MATCH(INDIRECT("Q11"),'1.Locations'!B2:B32, 0) - 1," ")</f>
        <v xml:space="preserve"> </v>
      </c>
      <c r="S11" s="67" t="e">
        <f ca="1">IFERROR(IF(ISNUMBER(R11),INDEX('1.Locations'!D2:D32,R11 + 1),NA()),NA())</f>
        <v>#N/A</v>
      </c>
      <c r="T11" s="67" t="e">
        <f ca="1">IFERROR(IF(ISNUMBER(R11),INDEX('1.Locations'!E2:E32,R11 + 1),NA()),NA())</f>
        <v>#N/A</v>
      </c>
      <c r="U11" s="68" t="str">
        <f ca="1">IFERROR(IF(ISNUMBER(R11),INDEX('2.Distances'!C2:C962,R10*31+R11+ 1) +U10," ")," ")</f>
        <v xml:space="preserve"> </v>
      </c>
      <c r="V11" s="69" t="str">
        <f ca="1">IFERROR(IF(ISNUMBER(R11),INDEX('2.Distances'!D2:D962,R10*31+R11 + 1) +V10," ")," ")</f>
        <v xml:space="preserve"> </v>
      </c>
      <c r="W11" s="70" t="str">
        <f ca="1">IFERROR(IF(ISNUMBER(R11),INDEX('2.Distances'!D2:D962,R10*31+R11 + 1) +X10," ")," ")</f>
        <v xml:space="preserve"> </v>
      </c>
      <c r="X11" s="70" t="str">
        <f ca="1">IFERROR(IF(AND(R5&lt;&gt;R11,ISNUMBER(W11)),INDEX('1.Locations'!I2:I32,R11 + 1) + MAX(W11,INDEX('1.Locations'!F2:F32,R11 + 1))," ")," ")</f>
        <v xml:space="preserve"> </v>
      </c>
      <c r="Y11" s="69" t="str">
        <f ca="1">IFERROR(IF(R5 = R11, W11 - X5, X11 - X5)," ")</f>
        <v xml:space="preserve"> </v>
      </c>
      <c r="Z11" s="67" t="str">
        <f ca="1">IFERROR(IF(ISNUMBER(R11),INDEX('1.Locations'!L2:L32,R11 + 1) + Z10," ")," ")</f>
        <v xml:space="preserve"> </v>
      </c>
      <c r="AA11" s="67" t="str">
        <f ca="1">IFERROR(IF(ISNUMBER(R11),INDEX('1.Locations'!J2:J32,R11 + 1)," ")," ")</f>
        <v xml:space="preserve"> </v>
      </c>
      <c r="AB11" s="67" t="str">
        <f ca="1">IFERROR(IF(ISNUMBER(R11),INDEX('1.Locations'!K2:K32,R11 + 1)," ")," ")</f>
        <v xml:space="preserve"> </v>
      </c>
      <c r="AC11" s="67" t="str">
        <f ca="1">IFERROR(IF(ISNUMBER(R11),SUM(AA5:AA11) + SUM(AB12:AB36)," ")," ")</f>
        <v xml:space="preserve"> </v>
      </c>
      <c r="AE11" s="17">
        <v>6</v>
      </c>
      <c r="AF11" s="21" t="s">
        <v>82</v>
      </c>
      <c r="AG11" s="67">
        <f ca="1">IFERROR(MATCH(INDIRECT("AF11"),'1.Locations'!B2:B32, 0) - 1," ")</f>
        <v>25</v>
      </c>
      <c r="AH11" s="67">
        <f ca="1">IFERROR(IF(ISNUMBER(AG11),INDEX('1.Locations'!D2:D32,AG11 + 1),NA()),NA())</f>
        <v>35.658357000000002</v>
      </c>
      <c r="AI11" s="67">
        <f ca="1">IFERROR(IF(ISNUMBER(AG11),INDEX('1.Locations'!E2:E32,AG11 + 1),NA()),NA())</f>
        <v>35.892732000000002</v>
      </c>
      <c r="AJ11" s="68">
        <f ca="1">IFERROR(IF(ISNUMBER(AG11),INDEX('2.Distances'!C2:C962,AG10*31+AG11+ 1) +AJ10," ")," ")</f>
        <v>0.24232022928813263</v>
      </c>
      <c r="AK11" s="69">
        <f ca="1">IFERROR(IF(ISNUMBER(AG11),INDEX('2.Distances'!D2:D962,AG10*31+AG11 + 1) +AK10," ")," ")</f>
        <v>4.1666666666666666E-3</v>
      </c>
      <c r="AL11" s="70">
        <f ca="1">IFERROR(IF(ISNUMBER(AG11),INDEX('2.Distances'!D2:D962,AG10*31+AG11 + 1) +AM10," ")," ")</f>
        <v>0.33749999999999997</v>
      </c>
      <c r="AM11" s="70">
        <f ca="1">IFERROR(IF(AND(AG5&lt;&gt;AG11,ISNUMBER(AL11)),INDEX('1.Locations'!I2:I32,AG11 + 1) + MAX(AL11,INDEX('1.Locations'!F2:F32,AG11 + 1))," ")," ")</f>
        <v>0.33749999999999997</v>
      </c>
      <c r="AN11" s="69">
        <f ca="1">IFERROR(IF(AG5 = AG11, AL11 - AM5, AM11 - AM5)," ")</f>
        <v>4.1666666666666519E-3</v>
      </c>
      <c r="AO11" s="67">
        <f ca="1">IFERROR(IF(ISNUMBER(AG11),INDEX('1.Locations'!L2:L32,AG11 + 1) + AO10," ")," ")</f>
        <v>0</v>
      </c>
      <c r="AP11" s="67">
        <f ca="1">IFERROR(IF(ISNUMBER(AG11),INDEX('1.Locations'!J2:J32,AG11 + 1)," ")," ")</f>
        <v>0</v>
      </c>
      <c r="AQ11" s="67">
        <f ca="1">IFERROR(IF(ISNUMBER(AG11),INDEX('1.Locations'!K2:K32,AG11 + 1)," ")," ")</f>
        <v>207.03904923599322</v>
      </c>
      <c r="AR11" s="67">
        <f ca="1">IFERROR(IF(ISNUMBER(AG11),SUM(AP5:AP11) + SUM(AQ12:AQ36)," ")," ")</f>
        <v>164.99454563991458</v>
      </c>
      <c r="AT11" s="17">
        <v>6</v>
      </c>
      <c r="AU11" s="21"/>
      <c r="AV11" s="67" t="str">
        <f ca="1">IFERROR(MATCH(INDIRECT("AU11"),'1.Locations'!B2:B32, 0) - 1," ")</f>
        <v xml:space="preserve"> </v>
      </c>
      <c r="AW11" s="67" t="e">
        <f ca="1">IFERROR(IF(ISNUMBER(AV11),INDEX('1.Locations'!D2:D32,AV11 + 1),NA()),NA())</f>
        <v>#N/A</v>
      </c>
      <c r="AX11" s="67" t="e">
        <f ca="1">IFERROR(IF(ISNUMBER(AV11),INDEX('1.Locations'!E2:E32,AV11 + 1),NA()),NA())</f>
        <v>#N/A</v>
      </c>
      <c r="AY11" s="68" t="str">
        <f ca="1">IFERROR(IF(ISNUMBER(AV11),INDEX('2.Distances'!C2:C962,AV10*31+AV11+ 1) +AY10," ")," ")</f>
        <v xml:space="preserve"> </v>
      </c>
      <c r="AZ11" s="69" t="str">
        <f ca="1">IFERROR(IF(ISNUMBER(AV11),INDEX('2.Distances'!D2:D962,AV10*31+AV11 + 1) +AZ10," ")," ")</f>
        <v xml:space="preserve"> </v>
      </c>
      <c r="BA11" s="70" t="str">
        <f ca="1">IFERROR(IF(ISNUMBER(AV11),INDEX('2.Distances'!D2:D962,AV10*31+AV11 + 1) +BB10," ")," ")</f>
        <v xml:space="preserve"> </v>
      </c>
      <c r="BB11" s="70" t="str">
        <f ca="1">IFERROR(IF(AND(AV5&lt;&gt;AV11,ISNUMBER(BA11)),INDEX('1.Locations'!I2:I32,AV11 + 1) + MAX(BA11,INDEX('1.Locations'!F2:F32,AV11 + 1))," ")," ")</f>
        <v xml:space="preserve"> </v>
      </c>
      <c r="BC11" s="69" t="str">
        <f ca="1">IFERROR(IF(AV5 = AV11, BA11 - BB5, BB11 - BB5)," ")</f>
        <v xml:space="preserve"> </v>
      </c>
      <c r="BD11" s="67" t="str">
        <f ca="1">IFERROR(IF(ISNUMBER(AV11),INDEX('1.Locations'!L2:L32,AV11 + 1) + BD10," ")," ")</f>
        <v xml:space="preserve"> </v>
      </c>
      <c r="BE11" s="67" t="str">
        <f ca="1">IFERROR(IF(ISNUMBER(AV11),INDEX('1.Locations'!J2:J32,AV11 + 1)," ")," ")</f>
        <v xml:space="preserve"> </v>
      </c>
      <c r="BF11" s="67" t="str">
        <f ca="1">IFERROR(IF(ISNUMBER(AV11),INDEX('1.Locations'!K2:K32,AV11 + 1)," ")," ")</f>
        <v xml:space="preserve"> </v>
      </c>
      <c r="BG11" s="67" t="str">
        <f ca="1">IFERROR(IF(ISNUMBER(AV11),SUM(BE5:BE11) + SUM(BF12:BF36)," ")," ")</f>
        <v xml:space="preserve"> </v>
      </c>
      <c r="BI11" s="17">
        <v>6</v>
      </c>
      <c r="BJ11" s="21" t="s">
        <v>55</v>
      </c>
      <c r="BK11" s="67">
        <f ca="1">IFERROR(MATCH(INDIRECT("BJ11"),'1.Locations'!B2:B32, 0) - 1," ")</f>
        <v>0</v>
      </c>
      <c r="BL11" s="67">
        <f ca="1">IFERROR(IF(ISNUMBER(BK11),INDEX('1.Locations'!D2:D32,BK11 + 1),NA()),NA())</f>
        <v>35.53</v>
      </c>
      <c r="BM11" s="67">
        <f ca="1">IFERROR(IF(ISNUMBER(BK11),INDEX('1.Locations'!E2:E32,BK11 + 1),NA()),NA())</f>
        <v>35.770000000000003</v>
      </c>
      <c r="BN11" s="68">
        <f ca="1">IFERROR(IF(ISNUMBER(BK11),INDEX('2.Distances'!C2:C962,BK10*31+BK11+ 1) +BN10," ")," ")</f>
        <v>0.47082827539088767</v>
      </c>
      <c r="BO11" s="69">
        <f ca="1">IFERROR(IF(ISNUMBER(BK11),INDEX('2.Distances'!D2:D962,BK10*31+BK11 + 1) +BO10," ")," ")</f>
        <v>4.1666666666666666E-3</v>
      </c>
      <c r="BP11" s="70">
        <f ca="1">IFERROR(IF(ISNUMBER(BK11),INDEX('2.Distances'!D2:D962,BK10*31+BK11 + 1) +BQ10," ")," ")</f>
        <v>0.33749999999999997</v>
      </c>
      <c r="BQ11" s="70" t="str">
        <f ca="1">IFERROR(IF(AND(BK5&lt;&gt;BK11,ISNUMBER(BP11)),INDEX('1.Locations'!I2:I32,BK11 + 1) + MAX(BP11,INDEX('1.Locations'!F2:F32,BK11 + 1))," ")," ")</f>
        <v xml:space="preserve"> </v>
      </c>
      <c r="BR11" s="69">
        <f ca="1">IFERROR(IF(BK5 = BK11, BP11 - BQ5, BQ11 - BQ5)," ")</f>
        <v>4.1666666666666519E-3</v>
      </c>
      <c r="BS11" s="67">
        <f ca="1">IFERROR(IF(ISNUMBER(BK11),INDEX('1.Locations'!L2:L32,BK11 + 1) + BS10," ")," ")</f>
        <v>0</v>
      </c>
      <c r="BT11" s="67">
        <f ca="1">IFERROR(IF(ISNUMBER(BK11),INDEX('1.Locations'!J2:J32,BK11 + 1)," ")," ")</f>
        <v>0</v>
      </c>
      <c r="BU11" s="67">
        <f ca="1">IFERROR(IF(ISNUMBER(BK11),INDEX('1.Locations'!K2:K32,BK11 + 1)," ")," ")</f>
        <v>0</v>
      </c>
      <c r="BV11" s="67">
        <f ca="1">IFERROR(IF(ISNUMBER(BK11),SUM(BT5:BT11) + SUM(BU12:BU36)," ")," ")</f>
        <v>0</v>
      </c>
      <c r="BX11" s="17">
        <v>6</v>
      </c>
      <c r="BY11" s="21"/>
      <c r="BZ11" s="67" t="str">
        <f ca="1">IFERROR(MATCH(INDIRECT("BY11"),'1.Locations'!B2:B32, 0) - 1," ")</f>
        <v xml:space="preserve"> </v>
      </c>
      <c r="CA11" s="67" t="e">
        <f ca="1">IFERROR(IF(ISNUMBER(BZ11),INDEX('1.Locations'!D2:D32,BZ11 + 1),NA()),NA())</f>
        <v>#N/A</v>
      </c>
      <c r="CB11" s="67" t="e">
        <f ca="1">IFERROR(IF(ISNUMBER(BZ11),INDEX('1.Locations'!E2:E32,BZ11 + 1),NA()),NA())</f>
        <v>#N/A</v>
      </c>
      <c r="CC11" s="68" t="str">
        <f ca="1">IFERROR(IF(ISNUMBER(BZ11),INDEX('2.Distances'!C2:C962,BZ10*31+BZ11+ 1) +CC10," ")," ")</f>
        <v xml:space="preserve"> </v>
      </c>
      <c r="CD11" s="69" t="str">
        <f ca="1">IFERROR(IF(ISNUMBER(BZ11),INDEX('2.Distances'!D2:D962,BZ10*31+BZ11 + 1) +CD10," ")," ")</f>
        <v xml:space="preserve"> </v>
      </c>
      <c r="CE11" s="70" t="str">
        <f ca="1">IFERROR(IF(ISNUMBER(BZ11),INDEX('2.Distances'!D2:D962,BZ10*31+BZ11 + 1) +CF10," ")," ")</f>
        <v xml:space="preserve"> </v>
      </c>
      <c r="CF11" s="70" t="str">
        <f ca="1">IFERROR(IF(AND(BZ5&lt;&gt;BZ11,ISNUMBER(CE11)),INDEX('1.Locations'!I2:I32,BZ11 + 1) + MAX(CE11,INDEX('1.Locations'!F2:F32,BZ11 + 1))," ")," ")</f>
        <v xml:space="preserve"> </v>
      </c>
      <c r="CG11" s="69" t="str">
        <f ca="1">IFERROR(IF(BZ5 = BZ11, CE11 - CF5, CF11 - CF5)," ")</f>
        <v xml:space="preserve"> </v>
      </c>
      <c r="CH11" s="67" t="str">
        <f ca="1">IFERROR(IF(ISNUMBER(BZ11),INDEX('1.Locations'!L2:L32,BZ11 + 1) + CH10," ")," ")</f>
        <v xml:space="preserve"> </v>
      </c>
      <c r="CI11" s="67" t="str">
        <f ca="1">IFERROR(IF(ISNUMBER(BZ11),INDEX('1.Locations'!J2:J32,BZ11 + 1)," ")," ")</f>
        <v xml:space="preserve"> </v>
      </c>
      <c r="CJ11" s="67" t="str">
        <f ca="1">IFERROR(IF(ISNUMBER(BZ11),INDEX('1.Locations'!K2:K32,BZ11 + 1)," ")," ")</f>
        <v xml:space="preserve"> </v>
      </c>
      <c r="CK11" s="67" t="str">
        <f ca="1">IFERROR(IF(ISNUMBER(BZ11),SUM(CI5:CI11) + SUM(CJ12:CJ36)," ")," ")</f>
        <v xml:space="preserve"> </v>
      </c>
      <c r="CM11" s="17">
        <v>6</v>
      </c>
      <c r="CN11" s="21"/>
      <c r="CO11" s="67" t="str">
        <f ca="1">IFERROR(MATCH(INDIRECT("CN11"),'1.Locations'!B2:B32, 0) - 1," ")</f>
        <v xml:space="preserve"> </v>
      </c>
      <c r="CP11" s="67" t="e">
        <f ca="1">IFERROR(IF(ISNUMBER(CO11),INDEX('1.Locations'!D2:D32,CO11 + 1),NA()),NA())</f>
        <v>#N/A</v>
      </c>
      <c r="CQ11" s="67" t="e">
        <f ca="1">IFERROR(IF(ISNUMBER(CO11),INDEX('1.Locations'!E2:E32,CO11 + 1),NA()),NA())</f>
        <v>#N/A</v>
      </c>
      <c r="CR11" s="68" t="str">
        <f ca="1">IFERROR(IF(ISNUMBER(CO11),INDEX('2.Distances'!C2:C962,CO10*31+CO11+ 1) +CR10," ")," ")</f>
        <v xml:space="preserve"> </v>
      </c>
      <c r="CS11" s="69" t="str">
        <f ca="1">IFERROR(IF(ISNUMBER(CO11),INDEX('2.Distances'!D2:D962,CO10*31+CO11 + 1) +CS10," ")," ")</f>
        <v xml:space="preserve"> </v>
      </c>
      <c r="CT11" s="70" t="str">
        <f ca="1">IFERROR(IF(ISNUMBER(CO11),INDEX('2.Distances'!D2:D962,CO10*31+CO11 + 1) +CU10," ")," ")</f>
        <v xml:space="preserve"> </v>
      </c>
      <c r="CU11" s="70" t="str">
        <f ca="1">IFERROR(IF(AND(CO5&lt;&gt;CO11,ISNUMBER(CT11)),INDEX('1.Locations'!I2:I32,CO11 + 1) + MAX(CT11,INDEX('1.Locations'!F2:F32,CO11 + 1))," ")," ")</f>
        <v xml:space="preserve"> </v>
      </c>
      <c r="CV11" s="69" t="str">
        <f ca="1">IFERROR(IF(CO5 = CO11, CT11 - CU5, CU11 - CU5)," ")</f>
        <v xml:space="preserve"> </v>
      </c>
      <c r="CW11" s="67" t="str">
        <f ca="1">IFERROR(IF(ISNUMBER(CO11),INDEX('1.Locations'!L2:L32,CO11 + 1) + CW10," ")," ")</f>
        <v xml:space="preserve"> </v>
      </c>
      <c r="CX11" s="67" t="str">
        <f ca="1">IFERROR(IF(ISNUMBER(CO11),INDEX('1.Locations'!J2:J32,CO11 + 1)," ")," ")</f>
        <v xml:space="preserve"> </v>
      </c>
      <c r="CY11" s="67" t="str">
        <f ca="1">IFERROR(IF(ISNUMBER(CO11),INDEX('1.Locations'!K2:K32,CO11 + 1)," ")," ")</f>
        <v xml:space="preserve"> </v>
      </c>
      <c r="CZ11" s="67" t="str">
        <f ca="1">IFERROR(IF(ISNUMBER(CO11),SUM(CX5:CX11) + SUM(CY12:CY36)," ")," ")</f>
        <v xml:space="preserve"> </v>
      </c>
      <c r="DB11" s="17">
        <v>6</v>
      </c>
      <c r="DC11" s="21"/>
      <c r="DD11" s="67" t="str">
        <f ca="1">IFERROR(MATCH(INDIRECT("DC11"),'1.Locations'!B2:B32, 0) - 1," ")</f>
        <v xml:space="preserve"> </v>
      </c>
      <c r="DE11" s="67" t="e">
        <f ca="1">IFERROR(IF(ISNUMBER(DD11),INDEX('1.Locations'!D2:D32,DD11 + 1),NA()),NA())</f>
        <v>#N/A</v>
      </c>
      <c r="DF11" s="67" t="e">
        <f ca="1">IFERROR(IF(ISNUMBER(DD11),INDEX('1.Locations'!E2:E32,DD11 + 1),NA()),NA())</f>
        <v>#N/A</v>
      </c>
      <c r="DG11" s="68" t="str">
        <f ca="1">IFERROR(IF(ISNUMBER(DD11),INDEX('2.Distances'!C2:C962,DD10*31+DD11+ 1) +DG10," ")," ")</f>
        <v xml:space="preserve"> </v>
      </c>
      <c r="DH11" s="69" t="str">
        <f ca="1">IFERROR(IF(ISNUMBER(DD11),INDEX('2.Distances'!D2:D962,DD10*31+DD11 + 1) +DH10," ")," ")</f>
        <v xml:space="preserve"> </v>
      </c>
      <c r="DI11" s="70" t="str">
        <f ca="1">IFERROR(IF(ISNUMBER(DD11),INDEX('2.Distances'!D2:D962,DD10*31+DD11 + 1) +DJ10," ")," ")</f>
        <v xml:space="preserve"> </v>
      </c>
      <c r="DJ11" s="70" t="str">
        <f ca="1">IFERROR(IF(AND(DD5&lt;&gt;DD11,ISNUMBER(DI11)),INDEX('1.Locations'!I2:I32,DD11 + 1) + MAX(DI11,INDEX('1.Locations'!F2:F32,DD11 + 1))," ")," ")</f>
        <v xml:space="preserve"> </v>
      </c>
      <c r="DK11" s="69" t="str">
        <f ca="1">IFERROR(IF(DD5 = DD11, DI11 - DJ5, DJ11 - DJ5)," ")</f>
        <v xml:space="preserve"> </v>
      </c>
      <c r="DL11" s="67" t="str">
        <f ca="1">IFERROR(IF(ISNUMBER(DD11),INDEX('1.Locations'!L2:L32,DD11 + 1) + DL10," ")," ")</f>
        <v xml:space="preserve"> </v>
      </c>
      <c r="DM11" s="67" t="str">
        <f ca="1">IFERROR(IF(ISNUMBER(DD11),INDEX('1.Locations'!J2:J32,DD11 + 1)," ")," ")</f>
        <v xml:space="preserve"> </v>
      </c>
      <c r="DN11" s="67" t="str">
        <f ca="1">IFERROR(IF(ISNUMBER(DD11),INDEX('1.Locations'!K2:K32,DD11 + 1)," ")," ")</f>
        <v xml:space="preserve"> </v>
      </c>
      <c r="DO11" s="67" t="str">
        <f ca="1">IFERROR(IF(ISNUMBER(DD11),SUM(DM5:DM11) + SUM(DN12:DN36)," ")," ")</f>
        <v xml:space="preserve"> </v>
      </c>
      <c r="DQ11" s="17">
        <v>6</v>
      </c>
      <c r="DR11" s="21"/>
      <c r="DS11" s="67" t="str">
        <f ca="1">IFERROR(MATCH(INDIRECT("DR11"),'1.Locations'!B2:B32, 0) - 1," ")</f>
        <v xml:space="preserve"> </v>
      </c>
      <c r="DT11" s="67" t="e">
        <f ca="1">IFERROR(IF(ISNUMBER(DS11),INDEX('1.Locations'!D2:D32,DS11 + 1),NA()),NA())</f>
        <v>#N/A</v>
      </c>
      <c r="DU11" s="67" t="e">
        <f ca="1">IFERROR(IF(ISNUMBER(DS11),INDEX('1.Locations'!E2:E32,DS11 + 1),NA()),NA())</f>
        <v>#N/A</v>
      </c>
      <c r="DV11" s="68" t="str">
        <f ca="1">IFERROR(IF(ISNUMBER(DS11),INDEX('2.Distances'!C2:C962,DS10*31+DS11+ 1) +DV10," ")," ")</f>
        <v xml:space="preserve"> </v>
      </c>
      <c r="DW11" s="69" t="str">
        <f ca="1">IFERROR(IF(ISNUMBER(DS11),INDEX('2.Distances'!D2:D962,DS10*31+DS11 + 1) +DW10," ")," ")</f>
        <v xml:space="preserve"> </v>
      </c>
      <c r="DX11" s="70" t="str">
        <f ca="1">IFERROR(IF(ISNUMBER(DS11),INDEX('2.Distances'!D2:D962,DS10*31+DS11 + 1) +DY10," ")," ")</f>
        <v xml:space="preserve"> </v>
      </c>
      <c r="DY11" s="70" t="str">
        <f ca="1">IFERROR(IF(AND(DS5&lt;&gt;DS11,ISNUMBER(DX11)),INDEX('1.Locations'!I2:I32,DS11 + 1) + MAX(DX11,INDEX('1.Locations'!F2:F32,DS11 + 1))," ")," ")</f>
        <v xml:space="preserve"> </v>
      </c>
      <c r="DZ11" s="69" t="str">
        <f ca="1">IFERROR(IF(DS5 = DS11, DX11 - DY5, DY11 - DY5)," ")</f>
        <v xml:space="preserve"> </v>
      </c>
      <c r="EA11" s="67" t="str">
        <f ca="1">IFERROR(IF(ISNUMBER(DS11),INDEX('1.Locations'!L2:L32,DS11 + 1) + EA10," ")," ")</f>
        <v xml:space="preserve"> </v>
      </c>
      <c r="EB11" s="67" t="str">
        <f ca="1">IFERROR(IF(ISNUMBER(DS11),INDEX('1.Locations'!J2:J32,DS11 + 1)," ")," ")</f>
        <v xml:space="preserve"> </v>
      </c>
      <c r="EC11" s="67" t="str">
        <f ca="1">IFERROR(IF(ISNUMBER(DS11),INDEX('1.Locations'!K2:K32,DS11 + 1)," ")," ")</f>
        <v xml:space="preserve"> </v>
      </c>
      <c r="ED11" s="67" t="str">
        <f ca="1">IFERROR(IF(ISNUMBER(DS11),SUM(EB5:EB11) + SUM(EC12:EC36)," ")," ")</f>
        <v xml:space="preserve"> </v>
      </c>
      <c r="EF11" s="17">
        <v>6</v>
      </c>
      <c r="EG11" s="21"/>
      <c r="EH11" s="67" t="str">
        <f ca="1">IFERROR(MATCH(INDIRECT("EG11"),'1.Locations'!B2:B32, 0) - 1," ")</f>
        <v xml:space="preserve"> </v>
      </c>
      <c r="EI11" s="67" t="e">
        <f ca="1">IFERROR(IF(ISNUMBER(EH11),INDEX('1.Locations'!D2:D32,EH11 + 1),NA()),NA())</f>
        <v>#N/A</v>
      </c>
      <c r="EJ11" s="67" t="e">
        <f ca="1">IFERROR(IF(ISNUMBER(EH11),INDEX('1.Locations'!E2:E32,EH11 + 1),NA()),NA())</f>
        <v>#N/A</v>
      </c>
      <c r="EK11" s="68" t="str">
        <f ca="1">IFERROR(IF(ISNUMBER(EH11),INDEX('2.Distances'!C2:C962,EH10*31+EH11+ 1) +EK10," ")," ")</f>
        <v xml:space="preserve"> </v>
      </c>
      <c r="EL11" s="69" t="str">
        <f ca="1">IFERROR(IF(ISNUMBER(EH11),INDEX('2.Distances'!D2:D962,EH10*31+EH11 + 1) +EL10," ")," ")</f>
        <v xml:space="preserve"> </v>
      </c>
      <c r="EM11" s="70" t="str">
        <f ca="1">IFERROR(IF(ISNUMBER(EH11),INDEX('2.Distances'!D2:D962,EH10*31+EH11 + 1) +EN10," ")," ")</f>
        <v xml:space="preserve"> </v>
      </c>
      <c r="EN11" s="70" t="str">
        <f ca="1">IFERROR(IF(AND(EH5&lt;&gt;EH11,ISNUMBER(EM11)),INDEX('1.Locations'!I2:I32,EH11 + 1) + MAX(EM11,INDEX('1.Locations'!F2:F32,EH11 + 1))," ")," ")</f>
        <v xml:space="preserve"> </v>
      </c>
      <c r="EO11" s="69" t="str">
        <f ca="1">IFERROR(IF(EH5 = EH11, EM11 - EN5, EN11 - EN5)," ")</f>
        <v xml:space="preserve"> </v>
      </c>
      <c r="EP11" s="67" t="str">
        <f ca="1">IFERROR(IF(ISNUMBER(EH11),INDEX('1.Locations'!L2:L32,EH11 + 1) + EP10," ")," ")</f>
        <v xml:space="preserve"> </v>
      </c>
      <c r="EQ11" s="67" t="str">
        <f ca="1">IFERROR(IF(ISNUMBER(EH11),INDEX('1.Locations'!J2:J32,EH11 + 1)," ")," ")</f>
        <v xml:space="preserve"> </v>
      </c>
      <c r="ER11" s="67" t="str">
        <f ca="1">IFERROR(IF(ISNUMBER(EH11),INDEX('1.Locations'!K2:K32,EH11 + 1)," ")," ")</f>
        <v xml:space="preserve"> </v>
      </c>
      <c r="ES11" s="67" t="str">
        <f ca="1">IFERROR(IF(ISNUMBER(EH11),SUM(EQ5:EQ11) + SUM(ER12:ER36)," ")," ")</f>
        <v xml:space="preserve"> </v>
      </c>
    </row>
    <row r="12" spans="1:149" x14ac:dyDescent="0.25">
      <c r="A12" s="17">
        <v>7</v>
      </c>
      <c r="B12" s="18" t="s">
        <v>71</v>
      </c>
      <c r="C12" s="67">
        <f ca="1">IFERROR(MATCH(INDIRECT("B12"),'1.Locations'!B2:B32, 0) - 1," ")</f>
        <v>14</v>
      </c>
      <c r="D12" s="67">
        <f ca="1">IFERROR(IF(ISNUMBER(C12),INDEX('1.Locations'!D2:D32,C12 + 1),NA()),NA())</f>
        <v>35.583333000000003</v>
      </c>
      <c r="E12" s="67">
        <f ca="1">IFERROR(IF(ISNUMBER(C12),INDEX('1.Locations'!E2:E32,C12 + 1),NA()),NA())</f>
        <v>35.900002999999998</v>
      </c>
      <c r="F12" s="68">
        <f ca="1">IFERROR(IF(ISNUMBER(C12),INDEX('2.Distances'!C2:C962,C11*31+C12+ 1) +F11," ")," ")</f>
        <v>0.39005245793251336</v>
      </c>
      <c r="G12" s="69">
        <f ca="1">IFERROR(IF(ISNUMBER(C12),INDEX('2.Distances'!D2:D962,C11*31+C12 + 1) +G11," ")," ")</f>
        <v>4.8611111111111112E-3</v>
      </c>
      <c r="H12" s="70">
        <f ca="1">IFERROR(IF(ISNUMBER(C12),INDEX('2.Distances'!D2:D962,C11*31+C12 + 1) +I11," ")," ")</f>
        <v>0.33819444444444441</v>
      </c>
      <c r="I12" s="70">
        <f ca="1">IFERROR(IF(AND(C5&lt;&gt;C12,ISNUMBER(H12)),INDEX('1.Locations'!I2:I32,C12 + 1) + MAX(H12,INDEX('1.Locations'!F2:F32,C12 + 1))," ")," ")</f>
        <v>0.33819444444444441</v>
      </c>
      <c r="J12" s="69">
        <f ca="1">IFERROR(IF(C5 = C12, H12 - I5, I12 - I5)," ")</f>
        <v>4.8611111111110938E-3</v>
      </c>
      <c r="K12" s="67">
        <f ca="1">IFERROR(IF(ISNUMBER(C12),INDEX('1.Locations'!L2:L32,C12 + 1) + K11," ")," ")</f>
        <v>0</v>
      </c>
      <c r="L12" s="67">
        <f ca="1">IFERROR(IF(ISNUMBER(C12),INDEX('1.Locations'!J2:J32,C12 + 1)," ")," ")</f>
        <v>0</v>
      </c>
      <c r="M12" s="67">
        <f ca="1">IFERROR(IF(ISNUMBER(C12),INDEX('1.Locations'!K2:K32,C12 + 1)," ")," ")</f>
        <v>29.754227290601651</v>
      </c>
      <c r="N12" s="67">
        <f ca="1">IFERROR(IF(ISNUMBER(C12),SUM(L5:L12) + SUM(M13:M36)," ")," ")</f>
        <v>127.86276051907197</v>
      </c>
      <c r="P12" s="17">
        <v>7</v>
      </c>
      <c r="Q12" s="18"/>
      <c r="R12" s="67" t="str">
        <f ca="1">IFERROR(MATCH(INDIRECT("Q12"),'1.Locations'!B2:B32, 0) - 1," ")</f>
        <v xml:space="preserve"> </v>
      </c>
      <c r="S12" s="67" t="e">
        <f ca="1">IFERROR(IF(ISNUMBER(R12),INDEX('1.Locations'!D2:D32,R12 + 1),NA()),NA())</f>
        <v>#N/A</v>
      </c>
      <c r="T12" s="67" t="e">
        <f ca="1">IFERROR(IF(ISNUMBER(R12),INDEX('1.Locations'!E2:E32,R12 + 1),NA()),NA())</f>
        <v>#N/A</v>
      </c>
      <c r="U12" s="68" t="str">
        <f ca="1">IFERROR(IF(ISNUMBER(R12),INDEX('2.Distances'!C2:C962,R11*31+R12+ 1) +U11," ")," ")</f>
        <v xml:space="preserve"> </v>
      </c>
      <c r="V12" s="69" t="str">
        <f ca="1">IFERROR(IF(ISNUMBER(R12),INDEX('2.Distances'!D2:D962,R11*31+R12 + 1) +V11," ")," ")</f>
        <v xml:space="preserve"> </v>
      </c>
      <c r="W12" s="70" t="str">
        <f ca="1">IFERROR(IF(ISNUMBER(R12),INDEX('2.Distances'!D2:D962,R11*31+R12 + 1) +X11," ")," ")</f>
        <v xml:space="preserve"> </v>
      </c>
      <c r="X12" s="70" t="str">
        <f ca="1">IFERROR(IF(AND(R5&lt;&gt;R12,ISNUMBER(W12)),INDEX('1.Locations'!I2:I32,R12 + 1) + MAX(W12,INDEX('1.Locations'!F2:F32,R12 + 1))," ")," ")</f>
        <v xml:space="preserve"> </v>
      </c>
      <c r="Y12" s="69" t="str">
        <f ca="1">IFERROR(IF(R5 = R12, W12 - X5, X12 - X5)," ")</f>
        <v xml:space="preserve"> </v>
      </c>
      <c r="Z12" s="67" t="str">
        <f ca="1">IFERROR(IF(ISNUMBER(R12),INDEX('1.Locations'!L2:L32,R12 + 1) + Z11," ")," ")</f>
        <v xml:space="preserve"> </v>
      </c>
      <c r="AA12" s="67" t="str">
        <f ca="1">IFERROR(IF(ISNUMBER(R12),INDEX('1.Locations'!J2:J32,R12 + 1)," ")," ")</f>
        <v xml:space="preserve"> </v>
      </c>
      <c r="AB12" s="67" t="str">
        <f ca="1">IFERROR(IF(ISNUMBER(R12),INDEX('1.Locations'!K2:K32,R12 + 1)," ")," ")</f>
        <v xml:space="preserve"> </v>
      </c>
      <c r="AC12" s="67" t="str">
        <f ca="1">IFERROR(IF(ISNUMBER(R12),SUM(AA5:AA12) + SUM(AB13:AB36)," ")," ")</f>
        <v xml:space="preserve"> </v>
      </c>
      <c r="AE12" s="17">
        <v>7</v>
      </c>
      <c r="AF12" s="18" t="s">
        <v>87</v>
      </c>
      <c r="AG12" s="67">
        <f ca="1">IFERROR(MATCH(INDIRECT("AF12"),'1.Locations'!B2:B32, 0) - 1," ")</f>
        <v>30</v>
      </c>
      <c r="AH12" s="67">
        <f ca="1">IFERROR(IF(ISNUMBER(AG12),INDEX('1.Locations'!D2:D32,AG12 + 1),NA()),NA())</f>
        <v>35.629916999999999</v>
      </c>
      <c r="AI12" s="67">
        <f ca="1">IFERROR(IF(ISNUMBER(AG12),INDEX('1.Locations'!E2:E32,AG12 + 1),NA()),NA())</f>
        <v>35.857708000000002</v>
      </c>
      <c r="AJ12" s="68">
        <f ca="1">IFERROR(IF(ISNUMBER(AG12),INDEX('2.Distances'!C2:C962,AG11*31+AG12+ 1) +AJ11," ")," ")</f>
        <v>0.2874369022151137</v>
      </c>
      <c r="AK12" s="69">
        <f ca="1">IFERROR(IF(ISNUMBER(AG12),INDEX('2.Distances'!D2:D962,AG11*31+AG12 + 1) +AK11," ")," ")</f>
        <v>4.8611111111111112E-3</v>
      </c>
      <c r="AL12" s="70">
        <f ca="1">IFERROR(IF(ISNUMBER(AG12),INDEX('2.Distances'!D2:D962,AG11*31+AG12 + 1) +AM11," ")," ")</f>
        <v>0.33819444444444441</v>
      </c>
      <c r="AM12" s="70">
        <f ca="1">IFERROR(IF(AND(AG5&lt;&gt;AG12,ISNUMBER(AL12)),INDEX('1.Locations'!I2:I32,AG12 + 1) + MAX(AL12,INDEX('1.Locations'!F2:F32,AG12 + 1))," ")," ")</f>
        <v>0.33819444444444441</v>
      </c>
      <c r="AN12" s="69">
        <f ca="1">IFERROR(IF(AG5 = AG12, AL12 - AM5, AM12 - AM5)," ")</f>
        <v>4.8611111111110938E-3</v>
      </c>
      <c r="AO12" s="67">
        <f ca="1">IFERROR(IF(ISNUMBER(AG12),INDEX('1.Locations'!L2:L32,AG12 + 1) + AO11," ")," ")</f>
        <v>0</v>
      </c>
      <c r="AP12" s="67">
        <f ca="1">IFERROR(IF(ISNUMBER(AG12),INDEX('1.Locations'!J2:J32,AG12 + 1)," ")," ")</f>
        <v>0</v>
      </c>
      <c r="AQ12" s="67">
        <f ca="1">IFERROR(IF(ISNUMBER(AG12),INDEX('1.Locations'!K2:K32,AG12 + 1)," ")," ")</f>
        <v>90.917147707979623</v>
      </c>
      <c r="AR12" s="67">
        <f ca="1">IFERROR(IF(ISNUMBER(AG12),SUM(AP5:AP12) + SUM(AQ13:AQ36)," ")," ")</f>
        <v>74.077397931934968</v>
      </c>
      <c r="AT12" s="17">
        <v>7</v>
      </c>
      <c r="AU12" s="18"/>
      <c r="AV12" s="67" t="str">
        <f ca="1">IFERROR(MATCH(INDIRECT("AU12"),'1.Locations'!B2:B32, 0) - 1," ")</f>
        <v xml:space="preserve"> </v>
      </c>
      <c r="AW12" s="67" t="e">
        <f ca="1">IFERROR(IF(ISNUMBER(AV12),INDEX('1.Locations'!D2:D32,AV12 + 1),NA()),NA())</f>
        <v>#N/A</v>
      </c>
      <c r="AX12" s="67" t="e">
        <f ca="1">IFERROR(IF(ISNUMBER(AV12),INDEX('1.Locations'!E2:E32,AV12 + 1),NA()),NA())</f>
        <v>#N/A</v>
      </c>
      <c r="AY12" s="68" t="str">
        <f ca="1">IFERROR(IF(ISNUMBER(AV12),INDEX('2.Distances'!C2:C962,AV11*31+AV12+ 1) +AY11," ")," ")</f>
        <v xml:space="preserve"> </v>
      </c>
      <c r="AZ12" s="69" t="str">
        <f ca="1">IFERROR(IF(ISNUMBER(AV12),INDEX('2.Distances'!D2:D962,AV11*31+AV12 + 1) +AZ11," ")," ")</f>
        <v xml:space="preserve"> </v>
      </c>
      <c r="BA12" s="70" t="str">
        <f ca="1">IFERROR(IF(ISNUMBER(AV12),INDEX('2.Distances'!D2:D962,AV11*31+AV12 + 1) +BB11," ")," ")</f>
        <v xml:space="preserve"> </v>
      </c>
      <c r="BB12" s="70" t="str">
        <f ca="1">IFERROR(IF(AND(AV5&lt;&gt;AV12,ISNUMBER(BA12)),INDEX('1.Locations'!I2:I32,AV12 + 1) + MAX(BA12,INDEX('1.Locations'!F2:F32,AV12 + 1))," ")," ")</f>
        <v xml:space="preserve"> </v>
      </c>
      <c r="BC12" s="69" t="str">
        <f ca="1">IFERROR(IF(AV5 = AV12, BA12 - BB5, BB12 - BB5)," ")</f>
        <v xml:space="preserve"> </v>
      </c>
      <c r="BD12" s="67" t="str">
        <f ca="1">IFERROR(IF(ISNUMBER(AV12),INDEX('1.Locations'!L2:L32,AV12 + 1) + BD11," ")," ")</f>
        <v xml:space="preserve"> </v>
      </c>
      <c r="BE12" s="67" t="str">
        <f ca="1">IFERROR(IF(ISNUMBER(AV12),INDEX('1.Locations'!J2:J32,AV12 + 1)," ")," ")</f>
        <v xml:space="preserve"> </v>
      </c>
      <c r="BF12" s="67" t="str">
        <f ca="1">IFERROR(IF(ISNUMBER(AV12),INDEX('1.Locations'!K2:K32,AV12 + 1)," ")," ")</f>
        <v xml:space="preserve"> </v>
      </c>
      <c r="BG12" s="67" t="str">
        <f ca="1">IFERROR(IF(ISNUMBER(AV12),SUM(BE5:BE12) + SUM(BF13:BF36)," ")," ")</f>
        <v xml:space="preserve"> </v>
      </c>
      <c r="BI12" s="17">
        <v>7</v>
      </c>
      <c r="BJ12" s="18"/>
      <c r="BK12" s="67" t="str">
        <f ca="1">IFERROR(MATCH(INDIRECT("BJ12"),'1.Locations'!B2:B32, 0) - 1," ")</f>
        <v xml:space="preserve"> </v>
      </c>
      <c r="BL12" s="67" t="e">
        <f ca="1">IFERROR(IF(ISNUMBER(BK12),INDEX('1.Locations'!D2:D32,BK12 + 1),NA()),NA())</f>
        <v>#N/A</v>
      </c>
      <c r="BM12" s="67" t="e">
        <f ca="1">IFERROR(IF(ISNUMBER(BK12),INDEX('1.Locations'!E2:E32,BK12 + 1),NA()),NA())</f>
        <v>#N/A</v>
      </c>
      <c r="BN12" s="68" t="str">
        <f ca="1">IFERROR(IF(ISNUMBER(BK12),INDEX('2.Distances'!C2:C962,BK11*31+BK12+ 1) +BN11," ")," ")</f>
        <v xml:space="preserve"> </v>
      </c>
      <c r="BO12" s="69" t="str">
        <f ca="1">IFERROR(IF(ISNUMBER(BK12),INDEX('2.Distances'!D2:D962,BK11*31+BK12 + 1) +BO11," ")," ")</f>
        <v xml:space="preserve"> </v>
      </c>
      <c r="BP12" s="70" t="str">
        <f ca="1">IFERROR(IF(ISNUMBER(BK12),INDEX('2.Distances'!D2:D962,BK11*31+BK12 + 1) +BQ11," ")," ")</f>
        <v xml:space="preserve"> </v>
      </c>
      <c r="BQ12" s="70" t="str">
        <f ca="1">IFERROR(IF(AND(BK5&lt;&gt;BK12,ISNUMBER(BP12)),INDEX('1.Locations'!I2:I32,BK12 + 1) + MAX(BP12,INDEX('1.Locations'!F2:F32,BK12 + 1))," ")," ")</f>
        <v xml:space="preserve"> </v>
      </c>
      <c r="BR12" s="69" t="str">
        <f ca="1">IFERROR(IF(BK5 = BK12, BP12 - BQ5, BQ12 - BQ5)," ")</f>
        <v xml:space="preserve"> </v>
      </c>
      <c r="BS12" s="67" t="str">
        <f ca="1">IFERROR(IF(ISNUMBER(BK12),INDEX('1.Locations'!L2:L32,BK12 + 1) + BS11," ")," ")</f>
        <v xml:space="preserve"> </v>
      </c>
      <c r="BT12" s="67" t="str">
        <f ca="1">IFERROR(IF(ISNUMBER(BK12),INDEX('1.Locations'!J2:J32,BK12 + 1)," ")," ")</f>
        <v xml:space="preserve"> </v>
      </c>
      <c r="BU12" s="67" t="str">
        <f ca="1">IFERROR(IF(ISNUMBER(BK12),INDEX('1.Locations'!K2:K32,BK12 + 1)," ")," ")</f>
        <v xml:space="preserve"> </v>
      </c>
      <c r="BV12" s="67" t="str">
        <f ca="1">IFERROR(IF(ISNUMBER(BK12),SUM(BT5:BT12) + SUM(BU13:BU36)," ")," ")</f>
        <v xml:space="preserve"> </v>
      </c>
      <c r="BX12" s="17">
        <v>7</v>
      </c>
      <c r="BY12" s="18"/>
      <c r="BZ12" s="67" t="str">
        <f ca="1">IFERROR(MATCH(INDIRECT("BY12"),'1.Locations'!B2:B32, 0) - 1," ")</f>
        <v xml:space="preserve"> </v>
      </c>
      <c r="CA12" s="67" t="e">
        <f ca="1">IFERROR(IF(ISNUMBER(BZ12),INDEX('1.Locations'!D2:D32,BZ12 + 1),NA()),NA())</f>
        <v>#N/A</v>
      </c>
      <c r="CB12" s="67" t="e">
        <f ca="1">IFERROR(IF(ISNUMBER(BZ12),INDEX('1.Locations'!E2:E32,BZ12 + 1),NA()),NA())</f>
        <v>#N/A</v>
      </c>
      <c r="CC12" s="68" t="str">
        <f ca="1">IFERROR(IF(ISNUMBER(BZ12),INDEX('2.Distances'!C2:C962,BZ11*31+BZ12+ 1) +CC11," ")," ")</f>
        <v xml:space="preserve"> </v>
      </c>
      <c r="CD12" s="69" t="str">
        <f ca="1">IFERROR(IF(ISNUMBER(BZ12),INDEX('2.Distances'!D2:D962,BZ11*31+BZ12 + 1) +CD11," ")," ")</f>
        <v xml:space="preserve"> </v>
      </c>
      <c r="CE12" s="70" t="str">
        <f ca="1">IFERROR(IF(ISNUMBER(BZ12),INDEX('2.Distances'!D2:D962,BZ11*31+BZ12 + 1) +CF11," ")," ")</f>
        <v xml:space="preserve"> </v>
      </c>
      <c r="CF12" s="70" t="str">
        <f ca="1">IFERROR(IF(AND(BZ5&lt;&gt;BZ12,ISNUMBER(CE12)),INDEX('1.Locations'!I2:I32,BZ12 + 1) + MAX(CE12,INDEX('1.Locations'!F2:F32,BZ12 + 1))," ")," ")</f>
        <v xml:space="preserve"> </v>
      </c>
      <c r="CG12" s="69" t="str">
        <f ca="1">IFERROR(IF(BZ5 = BZ12, CE12 - CF5, CF12 - CF5)," ")</f>
        <v xml:space="preserve"> </v>
      </c>
      <c r="CH12" s="67" t="str">
        <f ca="1">IFERROR(IF(ISNUMBER(BZ12),INDEX('1.Locations'!L2:L32,BZ12 + 1) + CH11," ")," ")</f>
        <v xml:space="preserve"> </v>
      </c>
      <c r="CI12" s="67" t="str">
        <f ca="1">IFERROR(IF(ISNUMBER(BZ12),INDEX('1.Locations'!J2:J32,BZ12 + 1)," ")," ")</f>
        <v xml:space="preserve"> </v>
      </c>
      <c r="CJ12" s="67" t="str">
        <f ca="1">IFERROR(IF(ISNUMBER(BZ12),INDEX('1.Locations'!K2:K32,BZ12 + 1)," ")," ")</f>
        <v xml:space="preserve"> </v>
      </c>
      <c r="CK12" s="67" t="str">
        <f ca="1">IFERROR(IF(ISNUMBER(BZ12),SUM(CI5:CI12) + SUM(CJ13:CJ36)," ")," ")</f>
        <v xml:space="preserve"> </v>
      </c>
      <c r="CM12" s="17">
        <v>7</v>
      </c>
      <c r="CN12" s="18"/>
      <c r="CO12" s="67" t="str">
        <f ca="1">IFERROR(MATCH(INDIRECT("CN12"),'1.Locations'!B2:B32, 0) - 1," ")</f>
        <v xml:space="preserve"> </v>
      </c>
      <c r="CP12" s="67" t="e">
        <f ca="1">IFERROR(IF(ISNUMBER(CO12),INDEX('1.Locations'!D2:D32,CO12 + 1),NA()),NA())</f>
        <v>#N/A</v>
      </c>
      <c r="CQ12" s="67" t="e">
        <f ca="1">IFERROR(IF(ISNUMBER(CO12),INDEX('1.Locations'!E2:E32,CO12 + 1),NA()),NA())</f>
        <v>#N/A</v>
      </c>
      <c r="CR12" s="68" t="str">
        <f ca="1">IFERROR(IF(ISNUMBER(CO12),INDEX('2.Distances'!C2:C962,CO11*31+CO12+ 1) +CR11," ")," ")</f>
        <v xml:space="preserve"> </v>
      </c>
      <c r="CS12" s="69" t="str">
        <f ca="1">IFERROR(IF(ISNUMBER(CO12),INDEX('2.Distances'!D2:D962,CO11*31+CO12 + 1) +CS11," ")," ")</f>
        <v xml:space="preserve"> </v>
      </c>
      <c r="CT12" s="70" t="str">
        <f ca="1">IFERROR(IF(ISNUMBER(CO12),INDEX('2.Distances'!D2:D962,CO11*31+CO12 + 1) +CU11," ")," ")</f>
        <v xml:space="preserve"> </v>
      </c>
      <c r="CU12" s="70" t="str">
        <f ca="1">IFERROR(IF(AND(CO5&lt;&gt;CO12,ISNUMBER(CT12)),INDEX('1.Locations'!I2:I32,CO12 + 1) + MAX(CT12,INDEX('1.Locations'!F2:F32,CO12 + 1))," ")," ")</f>
        <v xml:space="preserve"> </v>
      </c>
      <c r="CV12" s="69" t="str">
        <f ca="1">IFERROR(IF(CO5 = CO12, CT12 - CU5, CU12 - CU5)," ")</f>
        <v xml:space="preserve"> </v>
      </c>
      <c r="CW12" s="67" t="str">
        <f ca="1">IFERROR(IF(ISNUMBER(CO12),INDEX('1.Locations'!L2:L32,CO12 + 1) + CW11," ")," ")</f>
        <v xml:space="preserve"> </v>
      </c>
      <c r="CX12" s="67" t="str">
        <f ca="1">IFERROR(IF(ISNUMBER(CO12),INDEX('1.Locations'!J2:J32,CO12 + 1)," ")," ")</f>
        <v xml:space="preserve"> </v>
      </c>
      <c r="CY12" s="67" t="str">
        <f ca="1">IFERROR(IF(ISNUMBER(CO12),INDEX('1.Locations'!K2:K32,CO12 + 1)," ")," ")</f>
        <v xml:space="preserve"> </v>
      </c>
      <c r="CZ12" s="67" t="str">
        <f ca="1">IFERROR(IF(ISNUMBER(CO12),SUM(CX5:CX12) + SUM(CY13:CY36)," ")," ")</f>
        <v xml:space="preserve"> </v>
      </c>
      <c r="DB12" s="17">
        <v>7</v>
      </c>
      <c r="DC12" s="18"/>
      <c r="DD12" s="67" t="str">
        <f ca="1">IFERROR(MATCH(INDIRECT("DC12"),'1.Locations'!B2:B32, 0) - 1," ")</f>
        <v xml:space="preserve"> </v>
      </c>
      <c r="DE12" s="67" t="e">
        <f ca="1">IFERROR(IF(ISNUMBER(DD12),INDEX('1.Locations'!D2:D32,DD12 + 1),NA()),NA())</f>
        <v>#N/A</v>
      </c>
      <c r="DF12" s="67" t="e">
        <f ca="1">IFERROR(IF(ISNUMBER(DD12),INDEX('1.Locations'!E2:E32,DD12 + 1),NA()),NA())</f>
        <v>#N/A</v>
      </c>
      <c r="DG12" s="68" t="str">
        <f ca="1">IFERROR(IF(ISNUMBER(DD12),INDEX('2.Distances'!C2:C962,DD11*31+DD12+ 1) +DG11," ")," ")</f>
        <v xml:space="preserve"> </v>
      </c>
      <c r="DH12" s="69" t="str">
        <f ca="1">IFERROR(IF(ISNUMBER(DD12),INDEX('2.Distances'!D2:D962,DD11*31+DD12 + 1) +DH11," ")," ")</f>
        <v xml:space="preserve"> </v>
      </c>
      <c r="DI12" s="70" t="str">
        <f ca="1">IFERROR(IF(ISNUMBER(DD12),INDEX('2.Distances'!D2:D962,DD11*31+DD12 + 1) +DJ11," ")," ")</f>
        <v xml:space="preserve"> </v>
      </c>
      <c r="DJ12" s="70" t="str">
        <f ca="1">IFERROR(IF(AND(DD5&lt;&gt;DD12,ISNUMBER(DI12)),INDEX('1.Locations'!I2:I32,DD12 + 1) + MAX(DI12,INDEX('1.Locations'!F2:F32,DD12 + 1))," ")," ")</f>
        <v xml:space="preserve"> </v>
      </c>
      <c r="DK12" s="69" t="str">
        <f ca="1">IFERROR(IF(DD5 = DD12, DI12 - DJ5, DJ12 - DJ5)," ")</f>
        <v xml:space="preserve"> </v>
      </c>
      <c r="DL12" s="67" t="str">
        <f ca="1">IFERROR(IF(ISNUMBER(DD12),INDEX('1.Locations'!L2:L32,DD12 + 1) + DL11," ")," ")</f>
        <v xml:space="preserve"> </v>
      </c>
      <c r="DM12" s="67" t="str">
        <f ca="1">IFERROR(IF(ISNUMBER(DD12),INDEX('1.Locations'!J2:J32,DD12 + 1)," ")," ")</f>
        <v xml:space="preserve"> </v>
      </c>
      <c r="DN12" s="67" t="str">
        <f ca="1">IFERROR(IF(ISNUMBER(DD12),INDEX('1.Locations'!K2:K32,DD12 + 1)," ")," ")</f>
        <v xml:space="preserve"> </v>
      </c>
      <c r="DO12" s="67" t="str">
        <f ca="1">IFERROR(IF(ISNUMBER(DD12),SUM(DM5:DM12) + SUM(DN13:DN36)," ")," ")</f>
        <v xml:space="preserve"> </v>
      </c>
      <c r="DQ12" s="17">
        <v>7</v>
      </c>
      <c r="DR12" s="18"/>
      <c r="DS12" s="67" t="str">
        <f ca="1">IFERROR(MATCH(INDIRECT("DR12"),'1.Locations'!B2:B32, 0) - 1," ")</f>
        <v xml:space="preserve"> </v>
      </c>
      <c r="DT12" s="67" t="e">
        <f ca="1">IFERROR(IF(ISNUMBER(DS12),INDEX('1.Locations'!D2:D32,DS12 + 1),NA()),NA())</f>
        <v>#N/A</v>
      </c>
      <c r="DU12" s="67" t="e">
        <f ca="1">IFERROR(IF(ISNUMBER(DS12),INDEX('1.Locations'!E2:E32,DS12 + 1),NA()),NA())</f>
        <v>#N/A</v>
      </c>
      <c r="DV12" s="68" t="str">
        <f ca="1">IFERROR(IF(ISNUMBER(DS12),INDEX('2.Distances'!C2:C962,DS11*31+DS12+ 1) +DV11," ")," ")</f>
        <v xml:space="preserve"> </v>
      </c>
      <c r="DW12" s="69" t="str">
        <f ca="1">IFERROR(IF(ISNUMBER(DS12),INDEX('2.Distances'!D2:D962,DS11*31+DS12 + 1) +DW11," ")," ")</f>
        <v xml:space="preserve"> </v>
      </c>
      <c r="DX12" s="70" t="str">
        <f ca="1">IFERROR(IF(ISNUMBER(DS12),INDEX('2.Distances'!D2:D962,DS11*31+DS12 + 1) +DY11," ")," ")</f>
        <v xml:space="preserve"> </v>
      </c>
      <c r="DY12" s="70" t="str">
        <f ca="1">IFERROR(IF(AND(DS5&lt;&gt;DS12,ISNUMBER(DX12)),INDEX('1.Locations'!I2:I32,DS12 + 1) + MAX(DX12,INDEX('1.Locations'!F2:F32,DS12 + 1))," ")," ")</f>
        <v xml:space="preserve"> </v>
      </c>
      <c r="DZ12" s="69" t="str">
        <f ca="1">IFERROR(IF(DS5 = DS12, DX12 - DY5, DY12 - DY5)," ")</f>
        <v xml:space="preserve"> </v>
      </c>
      <c r="EA12" s="67" t="str">
        <f ca="1">IFERROR(IF(ISNUMBER(DS12),INDEX('1.Locations'!L2:L32,DS12 + 1) + EA11," ")," ")</f>
        <v xml:space="preserve"> </v>
      </c>
      <c r="EB12" s="67" t="str">
        <f ca="1">IFERROR(IF(ISNUMBER(DS12),INDEX('1.Locations'!J2:J32,DS12 + 1)," ")," ")</f>
        <v xml:space="preserve"> </v>
      </c>
      <c r="EC12" s="67" t="str">
        <f ca="1">IFERROR(IF(ISNUMBER(DS12),INDEX('1.Locations'!K2:K32,DS12 + 1)," ")," ")</f>
        <v xml:space="preserve"> </v>
      </c>
      <c r="ED12" s="67" t="str">
        <f ca="1">IFERROR(IF(ISNUMBER(DS12),SUM(EB5:EB12) + SUM(EC13:EC36)," ")," ")</f>
        <v xml:space="preserve"> </v>
      </c>
      <c r="EF12" s="17">
        <v>7</v>
      </c>
      <c r="EG12" s="18"/>
      <c r="EH12" s="67" t="str">
        <f ca="1">IFERROR(MATCH(INDIRECT("EG12"),'1.Locations'!B2:B32, 0) - 1," ")</f>
        <v xml:space="preserve"> </v>
      </c>
      <c r="EI12" s="67" t="e">
        <f ca="1">IFERROR(IF(ISNUMBER(EH12),INDEX('1.Locations'!D2:D32,EH12 + 1),NA()),NA())</f>
        <v>#N/A</v>
      </c>
      <c r="EJ12" s="67" t="e">
        <f ca="1">IFERROR(IF(ISNUMBER(EH12),INDEX('1.Locations'!E2:E32,EH12 + 1),NA()),NA())</f>
        <v>#N/A</v>
      </c>
      <c r="EK12" s="68" t="str">
        <f ca="1">IFERROR(IF(ISNUMBER(EH12),INDEX('2.Distances'!C2:C962,EH11*31+EH12+ 1) +EK11," ")," ")</f>
        <v xml:space="preserve"> </v>
      </c>
      <c r="EL12" s="69" t="str">
        <f ca="1">IFERROR(IF(ISNUMBER(EH12),INDEX('2.Distances'!D2:D962,EH11*31+EH12 + 1) +EL11," ")," ")</f>
        <v xml:space="preserve"> </v>
      </c>
      <c r="EM12" s="70" t="str">
        <f ca="1">IFERROR(IF(ISNUMBER(EH12),INDEX('2.Distances'!D2:D962,EH11*31+EH12 + 1) +EN11," ")," ")</f>
        <v xml:space="preserve"> </v>
      </c>
      <c r="EN12" s="70" t="str">
        <f ca="1">IFERROR(IF(AND(EH5&lt;&gt;EH12,ISNUMBER(EM12)),INDEX('1.Locations'!I2:I32,EH12 + 1) + MAX(EM12,INDEX('1.Locations'!F2:F32,EH12 + 1))," ")," ")</f>
        <v xml:space="preserve"> </v>
      </c>
      <c r="EO12" s="69" t="str">
        <f ca="1">IFERROR(IF(EH5 = EH12, EM12 - EN5, EN12 - EN5)," ")</f>
        <v xml:space="preserve"> </v>
      </c>
      <c r="EP12" s="67" t="str">
        <f ca="1">IFERROR(IF(ISNUMBER(EH12),INDEX('1.Locations'!L2:L32,EH12 + 1) + EP11," ")," ")</f>
        <v xml:space="preserve"> </v>
      </c>
      <c r="EQ12" s="67" t="str">
        <f ca="1">IFERROR(IF(ISNUMBER(EH12),INDEX('1.Locations'!J2:J32,EH12 + 1)," ")," ")</f>
        <v xml:space="preserve"> </v>
      </c>
      <c r="ER12" s="67" t="str">
        <f ca="1">IFERROR(IF(ISNUMBER(EH12),INDEX('1.Locations'!K2:K32,EH12 + 1)," ")," ")</f>
        <v xml:space="preserve"> </v>
      </c>
      <c r="ES12" s="67" t="str">
        <f ca="1">IFERROR(IF(ISNUMBER(EH12),SUM(EQ5:EQ12) + SUM(ER13:ER36)," ")," ")</f>
        <v xml:space="preserve"> </v>
      </c>
    </row>
    <row r="13" spans="1:149" x14ac:dyDescent="0.25">
      <c r="A13" s="17">
        <v>8</v>
      </c>
      <c r="B13" s="21" t="s">
        <v>74</v>
      </c>
      <c r="C13" s="67">
        <f ca="1">IFERROR(MATCH(INDIRECT("B13"),'1.Locations'!B2:B32, 0) - 1," ")</f>
        <v>17</v>
      </c>
      <c r="D13" s="67">
        <f ca="1">IFERROR(IF(ISNUMBER(C13),INDEX('1.Locations'!D2:D32,C13 + 1),NA()),NA())</f>
        <v>35.590528999999997</v>
      </c>
      <c r="E13" s="67">
        <f ca="1">IFERROR(IF(ISNUMBER(C13),INDEX('1.Locations'!E2:E32,C13 + 1),NA()),NA())</f>
        <v>35.881833</v>
      </c>
      <c r="F13" s="68">
        <f ca="1">IFERROR(IF(ISNUMBER(C13),INDEX('2.Distances'!C2:C962,C12*31+C13+ 1) +F12," ")," ")</f>
        <v>0.40959552104963559</v>
      </c>
      <c r="G13" s="69">
        <f ca="1">IFERROR(IF(ISNUMBER(C13),INDEX('2.Distances'!D2:D962,C12*31+C13 + 1) +G12," ")," ")</f>
        <v>5.5555555555555558E-3</v>
      </c>
      <c r="H13" s="70">
        <f ca="1">IFERROR(IF(ISNUMBER(C13),INDEX('2.Distances'!D2:D962,C12*31+C13 + 1) +I12," ")," ")</f>
        <v>0.33888888888888885</v>
      </c>
      <c r="I13" s="70">
        <f ca="1">IFERROR(IF(AND(C5&lt;&gt;C13,ISNUMBER(H13)),INDEX('1.Locations'!I2:I32,C13 + 1) + MAX(H13,INDEX('1.Locations'!F2:F32,C13 + 1))," ")," ")</f>
        <v>0.33888888888888885</v>
      </c>
      <c r="J13" s="69">
        <f ca="1">IFERROR(IF(C5 = C13, H13 - I5, I13 - I5)," ")</f>
        <v>5.5555555555555358E-3</v>
      </c>
      <c r="K13" s="67">
        <f ca="1">IFERROR(IF(ISNUMBER(C13),INDEX('1.Locations'!L2:L32,C13 + 1) + K12," ")," ")</f>
        <v>0</v>
      </c>
      <c r="L13" s="67">
        <f ca="1">IFERROR(IF(ISNUMBER(C13),INDEX('1.Locations'!J2:J32,C13 + 1)," ")," ")</f>
        <v>0</v>
      </c>
      <c r="M13" s="67">
        <f ca="1">IFERROR(IF(ISNUMBER(C13),INDEX('1.Locations'!K2:K32,C13 + 1)," ")," ")</f>
        <v>127.86276051907197</v>
      </c>
      <c r="N13" s="67">
        <f ca="1">IFERROR(IF(ISNUMBER(C13),SUM(L5:L13) + SUM(M14:M36)," ")," ")</f>
        <v>0</v>
      </c>
      <c r="P13" s="17">
        <v>8</v>
      </c>
      <c r="Q13" s="21"/>
      <c r="R13" s="67" t="str">
        <f ca="1">IFERROR(MATCH(INDIRECT("Q13"),'1.Locations'!B2:B32, 0) - 1," ")</f>
        <v xml:space="preserve"> </v>
      </c>
      <c r="S13" s="67" t="e">
        <f ca="1">IFERROR(IF(ISNUMBER(R13),INDEX('1.Locations'!D2:D32,R13 + 1),NA()),NA())</f>
        <v>#N/A</v>
      </c>
      <c r="T13" s="67" t="e">
        <f ca="1">IFERROR(IF(ISNUMBER(R13),INDEX('1.Locations'!E2:E32,R13 + 1),NA()),NA())</f>
        <v>#N/A</v>
      </c>
      <c r="U13" s="68" t="str">
        <f ca="1">IFERROR(IF(ISNUMBER(R13),INDEX('2.Distances'!C2:C962,R12*31+R13+ 1) +U12," ")," ")</f>
        <v xml:space="preserve"> </v>
      </c>
      <c r="V13" s="69" t="str">
        <f ca="1">IFERROR(IF(ISNUMBER(R13),INDEX('2.Distances'!D2:D962,R12*31+R13 + 1) +V12," ")," ")</f>
        <v xml:space="preserve"> </v>
      </c>
      <c r="W13" s="70" t="str">
        <f ca="1">IFERROR(IF(ISNUMBER(R13),INDEX('2.Distances'!D2:D962,R12*31+R13 + 1) +X12," ")," ")</f>
        <v xml:space="preserve"> </v>
      </c>
      <c r="X13" s="70" t="str">
        <f ca="1">IFERROR(IF(AND(R5&lt;&gt;R13,ISNUMBER(W13)),INDEX('1.Locations'!I2:I32,R13 + 1) + MAX(W13,INDEX('1.Locations'!F2:F32,R13 + 1))," ")," ")</f>
        <v xml:space="preserve"> </v>
      </c>
      <c r="Y13" s="69" t="str">
        <f ca="1">IFERROR(IF(R5 = R13, W13 - X5, X13 - X5)," ")</f>
        <v xml:space="preserve"> </v>
      </c>
      <c r="Z13" s="67" t="str">
        <f ca="1">IFERROR(IF(ISNUMBER(R13),INDEX('1.Locations'!L2:L32,R13 + 1) + Z12," ")," ")</f>
        <v xml:space="preserve"> </v>
      </c>
      <c r="AA13" s="67" t="str">
        <f ca="1">IFERROR(IF(ISNUMBER(R13),INDEX('1.Locations'!J2:J32,R13 + 1)," ")," ")</f>
        <v xml:space="preserve"> </v>
      </c>
      <c r="AB13" s="67" t="str">
        <f ca="1">IFERROR(IF(ISNUMBER(R13),INDEX('1.Locations'!K2:K32,R13 + 1)," ")," ")</f>
        <v xml:space="preserve"> </v>
      </c>
      <c r="AC13" s="67" t="str">
        <f ca="1">IFERROR(IF(ISNUMBER(R13),SUM(AA5:AA13) + SUM(AB14:AB36)," ")," ")</f>
        <v xml:space="preserve"> </v>
      </c>
      <c r="AE13" s="17">
        <v>8</v>
      </c>
      <c r="AF13" s="21" t="s">
        <v>61</v>
      </c>
      <c r="AG13" s="67">
        <f ca="1">IFERROR(MATCH(INDIRECT("AF13"),'1.Locations'!B2:B32, 0) - 1," ")</f>
        <v>4</v>
      </c>
      <c r="AH13" s="67">
        <f ca="1">IFERROR(IF(ISNUMBER(AG13),INDEX('1.Locations'!D2:D32,AG13 + 1),NA()),NA())</f>
        <v>35.583542999999999</v>
      </c>
      <c r="AI13" s="67">
        <f ca="1">IFERROR(IF(ISNUMBER(AG13),INDEX('1.Locations'!E2:E32,AG13 + 1),NA()),NA())</f>
        <v>35.830722999999999</v>
      </c>
      <c r="AJ13" s="68">
        <f ca="1">IFERROR(IF(ISNUMBER(AG13),INDEX('2.Distances'!C2:C962,AG12*31+AG13+ 1) +AJ12," ")," ")</f>
        <v>0.34109077533719312</v>
      </c>
      <c r="AK13" s="69">
        <f ca="1">IFERROR(IF(ISNUMBER(AG13),INDEX('2.Distances'!D2:D962,AG12*31+AG13 + 1) +AK12," ")," ")</f>
        <v>5.5555555555555558E-3</v>
      </c>
      <c r="AL13" s="70">
        <f ca="1">IFERROR(IF(ISNUMBER(AG13),INDEX('2.Distances'!D2:D962,AG12*31+AG13 + 1) +AM12," ")," ")</f>
        <v>0.33888888888888885</v>
      </c>
      <c r="AM13" s="70">
        <f ca="1">IFERROR(IF(AND(AG5&lt;&gt;AG13,ISNUMBER(AL13)),INDEX('1.Locations'!I2:I32,AG13 + 1) + MAX(AL13,INDEX('1.Locations'!F2:F32,AG13 + 1))," ")," ")</f>
        <v>0.33888888888888885</v>
      </c>
      <c r="AN13" s="69">
        <f ca="1">IFERROR(IF(AG5 = AG13, AL13 - AM5, AM13 - AM5)," ")</f>
        <v>5.5555555555555358E-3</v>
      </c>
      <c r="AO13" s="67">
        <f ca="1">IFERROR(IF(ISNUMBER(AG13),INDEX('1.Locations'!L2:L32,AG13 + 1) + AO12," ")," ")</f>
        <v>0</v>
      </c>
      <c r="AP13" s="67">
        <f ca="1">IFERROR(IF(ISNUMBER(AG13),INDEX('1.Locations'!J2:J32,AG13 + 1)," ")," ")</f>
        <v>0</v>
      </c>
      <c r="AQ13" s="67">
        <f ca="1">IFERROR(IF(ISNUMBER(AG13),INDEX('1.Locations'!K2:K32,AG13 + 1)," ")," ")</f>
        <v>74.077397931934968</v>
      </c>
      <c r="AR13" s="67">
        <f ca="1">IFERROR(IF(ISNUMBER(AG13),SUM(AP5:AP13) + SUM(AQ14:AQ36)," ")," ")</f>
        <v>0</v>
      </c>
      <c r="AT13" s="17">
        <v>8</v>
      </c>
      <c r="AU13" s="21"/>
      <c r="AV13" s="67" t="str">
        <f ca="1">IFERROR(MATCH(INDIRECT("AU13"),'1.Locations'!B2:B32, 0) - 1," ")</f>
        <v xml:space="preserve"> </v>
      </c>
      <c r="AW13" s="67" t="e">
        <f ca="1">IFERROR(IF(ISNUMBER(AV13),INDEX('1.Locations'!D2:D32,AV13 + 1),NA()),NA())</f>
        <v>#N/A</v>
      </c>
      <c r="AX13" s="67" t="e">
        <f ca="1">IFERROR(IF(ISNUMBER(AV13),INDEX('1.Locations'!E2:E32,AV13 + 1),NA()),NA())</f>
        <v>#N/A</v>
      </c>
      <c r="AY13" s="68" t="str">
        <f ca="1">IFERROR(IF(ISNUMBER(AV13),INDEX('2.Distances'!C2:C962,AV12*31+AV13+ 1) +AY12," ")," ")</f>
        <v xml:space="preserve"> </v>
      </c>
      <c r="AZ13" s="69" t="str">
        <f ca="1">IFERROR(IF(ISNUMBER(AV13),INDEX('2.Distances'!D2:D962,AV12*31+AV13 + 1) +AZ12," ")," ")</f>
        <v xml:space="preserve"> </v>
      </c>
      <c r="BA13" s="70" t="str">
        <f ca="1">IFERROR(IF(ISNUMBER(AV13),INDEX('2.Distances'!D2:D962,AV12*31+AV13 + 1) +BB12," ")," ")</f>
        <v xml:space="preserve"> </v>
      </c>
      <c r="BB13" s="70" t="str">
        <f ca="1">IFERROR(IF(AND(AV5&lt;&gt;AV13,ISNUMBER(BA13)),INDEX('1.Locations'!I2:I32,AV13 + 1) + MAX(BA13,INDEX('1.Locations'!F2:F32,AV13 + 1))," ")," ")</f>
        <v xml:space="preserve"> </v>
      </c>
      <c r="BC13" s="69" t="str">
        <f ca="1">IFERROR(IF(AV5 = AV13, BA13 - BB5, BB13 - BB5)," ")</f>
        <v xml:space="preserve"> </v>
      </c>
      <c r="BD13" s="67" t="str">
        <f ca="1">IFERROR(IF(ISNUMBER(AV13),INDEX('1.Locations'!L2:L32,AV13 + 1) + BD12," ")," ")</f>
        <v xml:space="preserve"> </v>
      </c>
      <c r="BE13" s="67" t="str">
        <f ca="1">IFERROR(IF(ISNUMBER(AV13),INDEX('1.Locations'!J2:J32,AV13 + 1)," ")," ")</f>
        <v xml:space="preserve"> </v>
      </c>
      <c r="BF13" s="67" t="str">
        <f ca="1">IFERROR(IF(ISNUMBER(AV13),INDEX('1.Locations'!K2:K32,AV13 + 1)," ")," ")</f>
        <v xml:space="preserve"> </v>
      </c>
      <c r="BG13" s="67" t="str">
        <f ca="1">IFERROR(IF(ISNUMBER(AV13),SUM(BE5:BE13) + SUM(BF14:BF36)," ")," ")</f>
        <v xml:space="preserve"> </v>
      </c>
      <c r="BI13" s="17">
        <v>8</v>
      </c>
      <c r="BJ13" s="21"/>
      <c r="BK13" s="67" t="str">
        <f ca="1">IFERROR(MATCH(INDIRECT("BJ13"),'1.Locations'!B2:B32, 0) - 1," ")</f>
        <v xml:space="preserve"> </v>
      </c>
      <c r="BL13" s="67" t="e">
        <f ca="1">IFERROR(IF(ISNUMBER(BK13),INDEX('1.Locations'!D2:D32,BK13 + 1),NA()),NA())</f>
        <v>#N/A</v>
      </c>
      <c r="BM13" s="67" t="e">
        <f ca="1">IFERROR(IF(ISNUMBER(BK13),INDEX('1.Locations'!E2:E32,BK13 + 1),NA()),NA())</f>
        <v>#N/A</v>
      </c>
      <c r="BN13" s="68" t="str">
        <f ca="1">IFERROR(IF(ISNUMBER(BK13),INDEX('2.Distances'!C2:C962,BK12*31+BK13+ 1) +BN12," ")," ")</f>
        <v xml:space="preserve"> </v>
      </c>
      <c r="BO13" s="69" t="str">
        <f ca="1">IFERROR(IF(ISNUMBER(BK13),INDEX('2.Distances'!D2:D962,BK12*31+BK13 + 1) +BO12," ")," ")</f>
        <v xml:space="preserve"> </v>
      </c>
      <c r="BP13" s="70" t="str">
        <f ca="1">IFERROR(IF(ISNUMBER(BK13),INDEX('2.Distances'!D2:D962,BK12*31+BK13 + 1) +BQ12," ")," ")</f>
        <v xml:space="preserve"> </v>
      </c>
      <c r="BQ13" s="70" t="str">
        <f ca="1">IFERROR(IF(AND(BK5&lt;&gt;BK13,ISNUMBER(BP13)),INDEX('1.Locations'!I2:I32,BK13 + 1) + MAX(BP13,INDEX('1.Locations'!F2:F32,BK13 + 1))," ")," ")</f>
        <v xml:space="preserve"> </v>
      </c>
      <c r="BR13" s="69" t="str">
        <f ca="1">IFERROR(IF(BK5 = BK13, BP13 - BQ5, BQ13 - BQ5)," ")</f>
        <v xml:space="preserve"> </v>
      </c>
      <c r="BS13" s="67" t="str">
        <f ca="1">IFERROR(IF(ISNUMBER(BK13),INDEX('1.Locations'!L2:L32,BK13 + 1) + BS12," ")," ")</f>
        <v xml:space="preserve"> </v>
      </c>
      <c r="BT13" s="67" t="str">
        <f ca="1">IFERROR(IF(ISNUMBER(BK13),INDEX('1.Locations'!J2:J32,BK13 + 1)," ")," ")</f>
        <v xml:space="preserve"> </v>
      </c>
      <c r="BU13" s="67" t="str">
        <f ca="1">IFERROR(IF(ISNUMBER(BK13),INDEX('1.Locations'!K2:K32,BK13 + 1)," ")," ")</f>
        <v xml:space="preserve"> </v>
      </c>
      <c r="BV13" s="67" t="str">
        <f ca="1">IFERROR(IF(ISNUMBER(BK13),SUM(BT5:BT13) + SUM(BU14:BU36)," ")," ")</f>
        <v xml:space="preserve"> </v>
      </c>
      <c r="BX13" s="17">
        <v>8</v>
      </c>
      <c r="BY13" s="21"/>
      <c r="BZ13" s="67" t="str">
        <f ca="1">IFERROR(MATCH(INDIRECT("BY13"),'1.Locations'!B2:B32, 0) - 1," ")</f>
        <v xml:space="preserve"> </v>
      </c>
      <c r="CA13" s="67" t="e">
        <f ca="1">IFERROR(IF(ISNUMBER(BZ13),INDEX('1.Locations'!D2:D32,BZ13 + 1),NA()),NA())</f>
        <v>#N/A</v>
      </c>
      <c r="CB13" s="67" t="e">
        <f ca="1">IFERROR(IF(ISNUMBER(BZ13),INDEX('1.Locations'!E2:E32,BZ13 + 1),NA()),NA())</f>
        <v>#N/A</v>
      </c>
      <c r="CC13" s="68" t="str">
        <f ca="1">IFERROR(IF(ISNUMBER(BZ13),INDEX('2.Distances'!C2:C962,BZ12*31+BZ13+ 1) +CC12," ")," ")</f>
        <v xml:space="preserve"> </v>
      </c>
      <c r="CD13" s="69" t="str">
        <f ca="1">IFERROR(IF(ISNUMBER(BZ13),INDEX('2.Distances'!D2:D962,BZ12*31+BZ13 + 1) +CD12," ")," ")</f>
        <v xml:space="preserve"> </v>
      </c>
      <c r="CE13" s="70" t="str">
        <f ca="1">IFERROR(IF(ISNUMBER(BZ13),INDEX('2.Distances'!D2:D962,BZ12*31+BZ13 + 1) +CF12," ")," ")</f>
        <v xml:space="preserve"> </v>
      </c>
      <c r="CF13" s="70" t="str">
        <f ca="1">IFERROR(IF(AND(BZ5&lt;&gt;BZ13,ISNUMBER(CE13)),INDEX('1.Locations'!I2:I32,BZ13 + 1) + MAX(CE13,INDEX('1.Locations'!F2:F32,BZ13 + 1))," ")," ")</f>
        <v xml:space="preserve"> </v>
      </c>
      <c r="CG13" s="69" t="str">
        <f ca="1">IFERROR(IF(BZ5 = BZ13, CE13 - CF5, CF13 - CF5)," ")</f>
        <v xml:space="preserve"> </v>
      </c>
      <c r="CH13" s="67" t="str">
        <f ca="1">IFERROR(IF(ISNUMBER(BZ13),INDEX('1.Locations'!L2:L32,BZ13 + 1) + CH12," ")," ")</f>
        <v xml:space="preserve"> </v>
      </c>
      <c r="CI13" s="67" t="str">
        <f ca="1">IFERROR(IF(ISNUMBER(BZ13),INDEX('1.Locations'!J2:J32,BZ13 + 1)," ")," ")</f>
        <v xml:space="preserve"> </v>
      </c>
      <c r="CJ13" s="67" t="str">
        <f ca="1">IFERROR(IF(ISNUMBER(BZ13),INDEX('1.Locations'!K2:K32,BZ13 + 1)," ")," ")</f>
        <v xml:space="preserve"> </v>
      </c>
      <c r="CK13" s="67" t="str">
        <f ca="1">IFERROR(IF(ISNUMBER(BZ13),SUM(CI5:CI13) + SUM(CJ14:CJ36)," ")," ")</f>
        <v xml:space="preserve"> </v>
      </c>
      <c r="CM13" s="17">
        <v>8</v>
      </c>
      <c r="CN13" s="21"/>
      <c r="CO13" s="67" t="str">
        <f ca="1">IFERROR(MATCH(INDIRECT("CN13"),'1.Locations'!B2:B32, 0) - 1," ")</f>
        <v xml:space="preserve"> </v>
      </c>
      <c r="CP13" s="67" t="e">
        <f ca="1">IFERROR(IF(ISNUMBER(CO13),INDEX('1.Locations'!D2:D32,CO13 + 1),NA()),NA())</f>
        <v>#N/A</v>
      </c>
      <c r="CQ13" s="67" t="e">
        <f ca="1">IFERROR(IF(ISNUMBER(CO13),INDEX('1.Locations'!E2:E32,CO13 + 1),NA()),NA())</f>
        <v>#N/A</v>
      </c>
      <c r="CR13" s="68" t="str">
        <f ca="1">IFERROR(IF(ISNUMBER(CO13),INDEX('2.Distances'!C2:C962,CO12*31+CO13+ 1) +CR12," ")," ")</f>
        <v xml:space="preserve"> </v>
      </c>
      <c r="CS13" s="69" t="str">
        <f ca="1">IFERROR(IF(ISNUMBER(CO13),INDEX('2.Distances'!D2:D962,CO12*31+CO13 + 1) +CS12," ")," ")</f>
        <v xml:space="preserve"> </v>
      </c>
      <c r="CT13" s="70" t="str">
        <f ca="1">IFERROR(IF(ISNUMBER(CO13),INDEX('2.Distances'!D2:D962,CO12*31+CO13 + 1) +CU12," ")," ")</f>
        <v xml:space="preserve"> </v>
      </c>
      <c r="CU13" s="70" t="str">
        <f ca="1">IFERROR(IF(AND(CO5&lt;&gt;CO13,ISNUMBER(CT13)),INDEX('1.Locations'!I2:I32,CO13 + 1) + MAX(CT13,INDEX('1.Locations'!F2:F32,CO13 + 1))," ")," ")</f>
        <v xml:space="preserve"> </v>
      </c>
      <c r="CV13" s="69" t="str">
        <f ca="1">IFERROR(IF(CO5 = CO13, CT13 - CU5, CU13 - CU5)," ")</f>
        <v xml:space="preserve"> </v>
      </c>
      <c r="CW13" s="67" t="str">
        <f ca="1">IFERROR(IF(ISNUMBER(CO13),INDEX('1.Locations'!L2:L32,CO13 + 1) + CW12," ")," ")</f>
        <v xml:space="preserve"> </v>
      </c>
      <c r="CX13" s="67" t="str">
        <f ca="1">IFERROR(IF(ISNUMBER(CO13),INDEX('1.Locations'!J2:J32,CO13 + 1)," ")," ")</f>
        <v xml:space="preserve"> </v>
      </c>
      <c r="CY13" s="67" t="str">
        <f ca="1">IFERROR(IF(ISNUMBER(CO13),INDEX('1.Locations'!K2:K32,CO13 + 1)," ")," ")</f>
        <v xml:space="preserve"> </v>
      </c>
      <c r="CZ13" s="67" t="str">
        <f ca="1">IFERROR(IF(ISNUMBER(CO13),SUM(CX5:CX13) + SUM(CY14:CY36)," ")," ")</f>
        <v xml:space="preserve"> </v>
      </c>
      <c r="DB13" s="17">
        <v>8</v>
      </c>
      <c r="DC13" s="21"/>
      <c r="DD13" s="67" t="str">
        <f ca="1">IFERROR(MATCH(INDIRECT("DC13"),'1.Locations'!B2:B32, 0) - 1," ")</f>
        <v xml:space="preserve"> </v>
      </c>
      <c r="DE13" s="67" t="e">
        <f ca="1">IFERROR(IF(ISNUMBER(DD13),INDEX('1.Locations'!D2:D32,DD13 + 1),NA()),NA())</f>
        <v>#N/A</v>
      </c>
      <c r="DF13" s="67" t="e">
        <f ca="1">IFERROR(IF(ISNUMBER(DD13),INDEX('1.Locations'!E2:E32,DD13 + 1),NA()),NA())</f>
        <v>#N/A</v>
      </c>
      <c r="DG13" s="68" t="str">
        <f ca="1">IFERROR(IF(ISNUMBER(DD13),INDEX('2.Distances'!C2:C962,DD12*31+DD13+ 1) +DG12," ")," ")</f>
        <v xml:space="preserve"> </v>
      </c>
      <c r="DH13" s="69" t="str">
        <f ca="1">IFERROR(IF(ISNUMBER(DD13),INDEX('2.Distances'!D2:D962,DD12*31+DD13 + 1) +DH12," ")," ")</f>
        <v xml:space="preserve"> </v>
      </c>
      <c r="DI13" s="70" t="str">
        <f ca="1">IFERROR(IF(ISNUMBER(DD13),INDEX('2.Distances'!D2:D962,DD12*31+DD13 + 1) +DJ12," ")," ")</f>
        <v xml:space="preserve"> </v>
      </c>
      <c r="DJ13" s="70" t="str">
        <f ca="1">IFERROR(IF(AND(DD5&lt;&gt;DD13,ISNUMBER(DI13)),INDEX('1.Locations'!I2:I32,DD13 + 1) + MAX(DI13,INDEX('1.Locations'!F2:F32,DD13 + 1))," ")," ")</f>
        <v xml:space="preserve"> </v>
      </c>
      <c r="DK13" s="69" t="str">
        <f ca="1">IFERROR(IF(DD5 = DD13, DI13 - DJ5, DJ13 - DJ5)," ")</f>
        <v xml:space="preserve"> </v>
      </c>
      <c r="DL13" s="67" t="str">
        <f ca="1">IFERROR(IF(ISNUMBER(DD13),INDEX('1.Locations'!L2:L32,DD13 + 1) + DL12," ")," ")</f>
        <v xml:space="preserve"> </v>
      </c>
      <c r="DM13" s="67" t="str">
        <f ca="1">IFERROR(IF(ISNUMBER(DD13),INDEX('1.Locations'!J2:J32,DD13 + 1)," ")," ")</f>
        <v xml:space="preserve"> </v>
      </c>
      <c r="DN13" s="67" t="str">
        <f ca="1">IFERROR(IF(ISNUMBER(DD13),INDEX('1.Locations'!K2:K32,DD13 + 1)," ")," ")</f>
        <v xml:space="preserve"> </v>
      </c>
      <c r="DO13" s="67" t="str">
        <f ca="1">IFERROR(IF(ISNUMBER(DD13),SUM(DM5:DM13) + SUM(DN14:DN36)," ")," ")</f>
        <v xml:space="preserve"> </v>
      </c>
      <c r="DQ13" s="17">
        <v>8</v>
      </c>
      <c r="DR13" s="21"/>
      <c r="DS13" s="67" t="str">
        <f ca="1">IFERROR(MATCH(INDIRECT("DR13"),'1.Locations'!B2:B32, 0) - 1," ")</f>
        <v xml:space="preserve"> </v>
      </c>
      <c r="DT13" s="67" t="e">
        <f ca="1">IFERROR(IF(ISNUMBER(DS13),INDEX('1.Locations'!D2:D32,DS13 + 1),NA()),NA())</f>
        <v>#N/A</v>
      </c>
      <c r="DU13" s="67" t="e">
        <f ca="1">IFERROR(IF(ISNUMBER(DS13),INDEX('1.Locations'!E2:E32,DS13 + 1),NA()),NA())</f>
        <v>#N/A</v>
      </c>
      <c r="DV13" s="68" t="str">
        <f ca="1">IFERROR(IF(ISNUMBER(DS13),INDEX('2.Distances'!C2:C962,DS12*31+DS13+ 1) +DV12," ")," ")</f>
        <v xml:space="preserve"> </v>
      </c>
      <c r="DW13" s="69" t="str">
        <f ca="1">IFERROR(IF(ISNUMBER(DS13),INDEX('2.Distances'!D2:D962,DS12*31+DS13 + 1) +DW12," ")," ")</f>
        <v xml:space="preserve"> </v>
      </c>
      <c r="DX13" s="70" t="str">
        <f ca="1">IFERROR(IF(ISNUMBER(DS13),INDEX('2.Distances'!D2:D962,DS12*31+DS13 + 1) +DY12," ")," ")</f>
        <v xml:space="preserve"> </v>
      </c>
      <c r="DY13" s="70" t="str">
        <f ca="1">IFERROR(IF(AND(DS5&lt;&gt;DS13,ISNUMBER(DX13)),INDEX('1.Locations'!I2:I32,DS13 + 1) + MAX(DX13,INDEX('1.Locations'!F2:F32,DS13 + 1))," ")," ")</f>
        <v xml:space="preserve"> </v>
      </c>
      <c r="DZ13" s="69" t="str">
        <f ca="1">IFERROR(IF(DS5 = DS13, DX13 - DY5, DY13 - DY5)," ")</f>
        <v xml:space="preserve"> </v>
      </c>
      <c r="EA13" s="67" t="str">
        <f ca="1">IFERROR(IF(ISNUMBER(DS13),INDEX('1.Locations'!L2:L32,DS13 + 1) + EA12," ")," ")</f>
        <v xml:space="preserve"> </v>
      </c>
      <c r="EB13" s="67" t="str">
        <f ca="1">IFERROR(IF(ISNUMBER(DS13),INDEX('1.Locations'!J2:J32,DS13 + 1)," ")," ")</f>
        <v xml:space="preserve"> </v>
      </c>
      <c r="EC13" s="67" t="str">
        <f ca="1">IFERROR(IF(ISNUMBER(DS13),INDEX('1.Locations'!K2:K32,DS13 + 1)," ")," ")</f>
        <v xml:space="preserve"> </v>
      </c>
      <c r="ED13" s="67" t="str">
        <f ca="1">IFERROR(IF(ISNUMBER(DS13),SUM(EB5:EB13) + SUM(EC14:EC36)," ")," ")</f>
        <v xml:space="preserve"> </v>
      </c>
      <c r="EF13" s="17">
        <v>8</v>
      </c>
      <c r="EG13" s="21"/>
      <c r="EH13" s="67" t="str">
        <f ca="1">IFERROR(MATCH(INDIRECT("EG13"),'1.Locations'!B2:B32, 0) - 1," ")</f>
        <v xml:space="preserve"> </v>
      </c>
      <c r="EI13" s="67" t="e">
        <f ca="1">IFERROR(IF(ISNUMBER(EH13),INDEX('1.Locations'!D2:D32,EH13 + 1),NA()),NA())</f>
        <v>#N/A</v>
      </c>
      <c r="EJ13" s="67" t="e">
        <f ca="1">IFERROR(IF(ISNUMBER(EH13),INDEX('1.Locations'!E2:E32,EH13 + 1),NA()),NA())</f>
        <v>#N/A</v>
      </c>
      <c r="EK13" s="68" t="str">
        <f ca="1">IFERROR(IF(ISNUMBER(EH13),INDEX('2.Distances'!C2:C962,EH12*31+EH13+ 1) +EK12," ")," ")</f>
        <v xml:space="preserve"> </v>
      </c>
      <c r="EL13" s="69" t="str">
        <f ca="1">IFERROR(IF(ISNUMBER(EH13),INDEX('2.Distances'!D2:D962,EH12*31+EH13 + 1) +EL12," ")," ")</f>
        <v xml:space="preserve"> </v>
      </c>
      <c r="EM13" s="70" t="str">
        <f ca="1">IFERROR(IF(ISNUMBER(EH13),INDEX('2.Distances'!D2:D962,EH12*31+EH13 + 1) +EN12," ")," ")</f>
        <v xml:space="preserve"> </v>
      </c>
      <c r="EN13" s="70" t="str">
        <f ca="1">IFERROR(IF(AND(EH5&lt;&gt;EH13,ISNUMBER(EM13)),INDEX('1.Locations'!I2:I32,EH13 + 1) + MAX(EM13,INDEX('1.Locations'!F2:F32,EH13 + 1))," ")," ")</f>
        <v xml:space="preserve"> </v>
      </c>
      <c r="EO13" s="69" t="str">
        <f ca="1">IFERROR(IF(EH5 = EH13, EM13 - EN5, EN13 - EN5)," ")</f>
        <v xml:space="preserve"> </v>
      </c>
      <c r="EP13" s="67" t="str">
        <f ca="1">IFERROR(IF(ISNUMBER(EH13),INDEX('1.Locations'!L2:L32,EH13 + 1) + EP12," ")," ")</f>
        <v xml:space="preserve"> </v>
      </c>
      <c r="EQ13" s="67" t="str">
        <f ca="1">IFERROR(IF(ISNUMBER(EH13),INDEX('1.Locations'!J2:J32,EH13 + 1)," ")," ")</f>
        <v xml:space="preserve"> </v>
      </c>
      <c r="ER13" s="67" t="str">
        <f ca="1">IFERROR(IF(ISNUMBER(EH13),INDEX('1.Locations'!K2:K32,EH13 + 1)," ")," ")</f>
        <v xml:space="preserve"> </v>
      </c>
      <c r="ES13" s="67" t="str">
        <f ca="1">IFERROR(IF(ISNUMBER(EH13),SUM(EQ5:EQ13) + SUM(ER14:ER36)," ")," ")</f>
        <v xml:space="preserve"> </v>
      </c>
    </row>
    <row r="14" spans="1:149" x14ac:dyDescent="0.25">
      <c r="A14" s="17">
        <v>9</v>
      </c>
      <c r="B14" s="18" t="s">
        <v>55</v>
      </c>
      <c r="C14" s="67">
        <f ca="1">IFERROR(MATCH(INDIRECT("B14"),'1.Locations'!B2:B32, 0) - 1," ")</f>
        <v>0</v>
      </c>
      <c r="D14" s="67">
        <f ca="1">IFERROR(IF(ISNUMBER(C14),INDEX('1.Locations'!D2:D32,C14 + 1),NA()),NA())</f>
        <v>35.53</v>
      </c>
      <c r="E14" s="67">
        <f ca="1">IFERROR(IF(ISNUMBER(C14),INDEX('1.Locations'!E2:E32,C14 + 1),NA()),NA())</f>
        <v>35.770000000000003</v>
      </c>
      <c r="F14" s="68">
        <f ca="1">IFERROR(IF(ISNUMBER(C14),INDEX('2.Distances'!C2:C962,C13*31+C14+ 1) +F13," ")," ")</f>
        <v>0.53675832901642595</v>
      </c>
      <c r="G14" s="69">
        <f ca="1">IFERROR(IF(ISNUMBER(C14),INDEX('2.Distances'!D2:D962,C13*31+C14 + 1) +G13," ")," ")</f>
        <v>6.2500000000000003E-3</v>
      </c>
      <c r="H14" s="70">
        <f ca="1">IFERROR(IF(ISNUMBER(C14),INDEX('2.Distances'!D2:D962,C13*31+C14 + 1) +I13," ")," ")</f>
        <v>0.33958333333333329</v>
      </c>
      <c r="I14" s="70" t="str">
        <f ca="1">IFERROR(IF(AND(C5&lt;&gt;C14,ISNUMBER(H14)),INDEX('1.Locations'!I2:I32,C14 + 1) + MAX(H14,INDEX('1.Locations'!F2:F32,C14 + 1))," ")," ")</f>
        <v xml:space="preserve"> </v>
      </c>
      <c r="J14" s="69">
        <f ca="1">IFERROR(IF(C5 = C14, H14 - I5, I14 - I5)," ")</f>
        <v>6.2499999999999778E-3</v>
      </c>
      <c r="K14" s="67">
        <f ca="1">IFERROR(IF(ISNUMBER(C14),INDEX('1.Locations'!L2:L32,C14 + 1) + K13," ")," ")</f>
        <v>0</v>
      </c>
      <c r="L14" s="67">
        <f ca="1">IFERROR(IF(ISNUMBER(C14),INDEX('1.Locations'!J2:J32,C14 + 1)," ")," ")</f>
        <v>0</v>
      </c>
      <c r="M14" s="67">
        <f ca="1">IFERROR(IF(ISNUMBER(C14),INDEX('1.Locations'!K2:K32,C14 + 1)," ")," ")</f>
        <v>0</v>
      </c>
      <c r="N14" s="67">
        <f ca="1">IFERROR(IF(ISNUMBER(C14),SUM(L5:L14) + SUM(M15:M36)," ")," ")</f>
        <v>0</v>
      </c>
      <c r="P14" s="17">
        <v>9</v>
      </c>
      <c r="Q14" s="18"/>
      <c r="R14" s="67" t="str">
        <f ca="1">IFERROR(MATCH(INDIRECT("Q14"),'1.Locations'!B2:B32, 0) - 1," ")</f>
        <v xml:space="preserve"> </v>
      </c>
      <c r="S14" s="67" t="e">
        <f ca="1">IFERROR(IF(ISNUMBER(R14),INDEX('1.Locations'!D2:D32,R14 + 1),NA()),NA())</f>
        <v>#N/A</v>
      </c>
      <c r="T14" s="67" t="e">
        <f ca="1">IFERROR(IF(ISNUMBER(R14),INDEX('1.Locations'!E2:E32,R14 + 1),NA()),NA())</f>
        <v>#N/A</v>
      </c>
      <c r="U14" s="68" t="str">
        <f ca="1">IFERROR(IF(ISNUMBER(R14),INDEX('2.Distances'!C2:C962,R13*31+R14+ 1) +U13," ")," ")</f>
        <v xml:space="preserve"> </v>
      </c>
      <c r="V14" s="69" t="str">
        <f ca="1">IFERROR(IF(ISNUMBER(R14),INDEX('2.Distances'!D2:D962,R13*31+R14 + 1) +V13," ")," ")</f>
        <v xml:space="preserve"> </v>
      </c>
      <c r="W14" s="70" t="str">
        <f ca="1">IFERROR(IF(ISNUMBER(R14),INDEX('2.Distances'!D2:D962,R13*31+R14 + 1) +X13," ")," ")</f>
        <v xml:space="preserve"> </v>
      </c>
      <c r="X14" s="70" t="str">
        <f ca="1">IFERROR(IF(AND(R5&lt;&gt;R14,ISNUMBER(W14)),INDEX('1.Locations'!I2:I32,R14 + 1) + MAX(W14,INDEX('1.Locations'!F2:F32,R14 + 1))," ")," ")</f>
        <v xml:space="preserve"> </v>
      </c>
      <c r="Y14" s="69" t="str">
        <f ca="1">IFERROR(IF(R5 = R14, W14 - X5, X14 - X5)," ")</f>
        <v xml:space="preserve"> </v>
      </c>
      <c r="Z14" s="67" t="str">
        <f ca="1">IFERROR(IF(ISNUMBER(R14),INDEX('1.Locations'!L2:L32,R14 + 1) + Z13," ")," ")</f>
        <v xml:space="preserve"> </v>
      </c>
      <c r="AA14" s="67" t="str">
        <f ca="1">IFERROR(IF(ISNUMBER(R14),INDEX('1.Locations'!J2:J32,R14 + 1)," ")," ")</f>
        <v xml:space="preserve"> </v>
      </c>
      <c r="AB14" s="67" t="str">
        <f ca="1">IFERROR(IF(ISNUMBER(R14),INDEX('1.Locations'!K2:K32,R14 + 1)," ")," ")</f>
        <v xml:space="preserve"> </v>
      </c>
      <c r="AC14" s="67" t="str">
        <f ca="1">IFERROR(IF(ISNUMBER(R14),SUM(AA5:AA14) + SUM(AB15:AB36)," ")," ")</f>
        <v xml:space="preserve"> </v>
      </c>
      <c r="AE14" s="17">
        <v>9</v>
      </c>
      <c r="AF14" s="18" t="s">
        <v>55</v>
      </c>
      <c r="AG14" s="67">
        <f ca="1">IFERROR(MATCH(INDIRECT("AF14"),'1.Locations'!B2:B32, 0) - 1," ")</f>
        <v>0</v>
      </c>
      <c r="AH14" s="67">
        <f ca="1">IFERROR(IF(ISNUMBER(AG14),INDEX('1.Locations'!D2:D32,AG14 + 1),NA()),NA())</f>
        <v>35.53</v>
      </c>
      <c r="AI14" s="67">
        <f ca="1">IFERROR(IF(ISNUMBER(AG14),INDEX('1.Locations'!E2:E32,AG14 + 1),NA()),NA())</f>
        <v>35.770000000000003</v>
      </c>
      <c r="AJ14" s="68">
        <f ca="1">IFERROR(IF(ISNUMBER(AG14),INDEX('2.Distances'!C2:C962,AG13*31+AG14+ 1) +AJ13," ")," ")</f>
        <v>0.42204839127293597</v>
      </c>
      <c r="AK14" s="69">
        <f ca="1">IFERROR(IF(ISNUMBER(AG14),INDEX('2.Distances'!D2:D962,AG13*31+AG14 + 1) +AK13," ")," ")</f>
        <v>6.2500000000000003E-3</v>
      </c>
      <c r="AL14" s="70">
        <f ca="1">IFERROR(IF(ISNUMBER(AG14),INDEX('2.Distances'!D2:D962,AG13*31+AG14 + 1) +AM13," ")," ")</f>
        <v>0.33958333333333329</v>
      </c>
      <c r="AM14" s="70" t="str">
        <f ca="1">IFERROR(IF(AND(AG5&lt;&gt;AG14,ISNUMBER(AL14)),INDEX('1.Locations'!I2:I32,AG14 + 1) + MAX(AL14,INDEX('1.Locations'!F2:F32,AG14 + 1))," ")," ")</f>
        <v xml:space="preserve"> </v>
      </c>
      <c r="AN14" s="69">
        <f ca="1">IFERROR(IF(AG5 = AG14, AL14 - AM5, AM14 - AM5)," ")</f>
        <v>6.2499999999999778E-3</v>
      </c>
      <c r="AO14" s="67">
        <f ca="1">IFERROR(IF(ISNUMBER(AG14),INDEX('1.Locations'!L2:L32,AG14 + 1) + AO13," ")," ")</f>
        <v>0</v>
      </c>
      <c r="AP14" s="67">
        <f ca="1">IFERROR(IF(ISNUMBER(AG14),INDEX('1.Locations'!J2:J32,AG14 + 1)," ")," ")</f>
        <v>0</v>
      </c>
      <c r="AQ14" s="67">
        <f ca="1">IFERROR(IF(ISNUMBER(AG14),INDEX('1.Locations'!K2:K32,AG14 + 1)," ")," ")</f>
        <v>0</v>
      </c>
      <c r="AR14" s="67">
        <f ca="1">IFERROR(IF(ISNUMBER(AG14),SUM(AP5:AP14) + SUM(AQ15:AQ36)," ")," ")</f>
        <v>0</v>
      </c>
      <c r="AT14" s="17">
        <v>9</v>
      </c>
      <c r="AU14" s="18"/>
      <c r="AV14" s="67" t="str">
        <f ca="1">IFERROR(MATCH(INDIRECT("AU14"),'1.Locations'!B2:B32, 0) - 1," ")</f>
        <v xml:space="preserve"> </v>
      </c>
      <c r="AW14" s="67" t="e">
        <f ca="1">IFERROR(IF(ISNUMBER(AV14),INDEX('1.Locations'!D2:D32,AV14 + 1),NA()),NA())</f>
        <v>#N/A</v>
      </c>
      <c r="AX14" s="67" t="e">
        <f ca="1">IFERROR(IF(ISNUMBER(AV14),INDEX('1.Locations'!E2:E32,AV14 + 1),NA()),NA())</f>
        <v>#N/A</v>
      </c>
      <c r="AY14" s="68" t="str">
        <f ca="1">IFERROR(IF(ISNUMBER(AV14),INDEX('2.Distances'!C2:C962,AV13*31+AV14+ 1) +AY13," ")," ")</f>
        <v xml:space="preserve"> </v>
      </c>
      <c r="AZ14" s="69" t="str">
        <f ca="1">IFERROR(IF(ISNUMBER(AV14),INDEX('2.Distances'!D2:D962,AV13*31+AV14 + 1) +AZ13," ")," ")</f>
        <v xml:space="preserve"> </v>
      </c>
      <c r="BA14" s="70" t="str">
        <f ca="1">IFERROR(IF(ISNUMBER(AV14),INDEX('2.Distances'!D2:D962,AV13*31+AV14 + 1) +BB13," ")," ")</f>
        <v xml:space="preserve"> </v>
      </c>
      <c r="BB14" s="70" t="str">
        <f ca="1">IFERROR(IF(AND(AV5&lt;&gt;AV14,ISNUMBER(BA14)),INDEX('1.Locations'!I2:I32,AV14 + 1) + MAX(BA14,INDEX('1.Locations'!F2:F32,AV14 + 1))," ")," ")</f>
        <v xml:space="preserve"> </v>
      </c>
      <c r="BC14" s="69" t="str">
        <f ca="1">IFERROR(IF(AV5 = AV14, BA14 - BB5, BB14 - BB5)," ")</f>
        <v xml:space="preserve"> </v>
      </c>
      <c r="BD14" s="67" t="str">
        <f ca="1">IFERROR(IF(ISNUMBER(AV14),INDEX('1.Locations'!L2:L32,AV14 + 1) + BD13," ")," ")</f>
        <v xml:space="preserve"> </v>
      </c>
      <c r="BE14" s="67" t="str">
        <f ca="1">IFERROR(IF(ISNUMBER(AV14),INDEX('1.Locations'!J2:J32,AV14 + 1)," ")," ")</f>
        <v xml:space="preserve"> </v>
      </c>
      <c r="BF14" s="67" t="str">
        <f ca="1">IFERROR(IF(ISNUMBER(AV14),INDEX('1.Locations'!K2:K32,AV14 + 1)," ")," ")</f>
        <v xml:space="preserve"> </v>
      </c>
      <c r="BG14" s="67" t="str">
        <f ca="1">IFERROR(IF(ISNUMBER(AV14),SUM(BE5:BE14) + SUM(BF15:BF36)," ")," ")</f>
        <v xml:space="preserve"> </v>
      </c>
      <c r="BI14" s="17">
        <v>9</v>
      </c>
      <c r="BJ14" s="18"/>
      <c r="BK14" s="67" t="str">
        <f ca="1">IFERROR(MATCH(INDIRECT("BJ14"),'1.Locations'!B2:B32, 0) - 1," ")</f>
        <v xml:space="preserve"> </v>
      </c>
      <c r="BL14" s="67" t="e">
        <f ca="1">IFERROR(IF(ISNUMBER(BK14),INDEX('1.Locations'!D2:D32,BK14 + 1),NA()),NA())</f>
        <v>#N/A</v>
      </c>
      <c r="BM14" s="67" t="e">
        <f ca="1">IFERROR(IF(ISNUMBER(BK14),INDEX('1.Locations'!E2:E32,BK14 + 1),NA()),NA())</f>
        <v>#N/A</v>
      </c>
      <c r="BN14" s="68" t="str">
        <f ca="1">IFERROR(IF(ISNUMBER(BK14),INDEX('2.Distances'!C2:C962,BK13*31+BK14+ 1) +BN13," ")," ")</f>
        <v xml:space="preserve"> </v>
      </c>
      <c r="BO14" s="69" t="str">
        <f ca="1">IFERROR(IF(ISNUMBER(BK14),INDEX('2.Distances'!D2:D962,BK13*31+BK14 + 1) +BO13," ")," ")</f>
        <v xml:space="preserve"> </v>
      </c>
      <c r="BP14" s="70" t="str">
        <f ca="1">IFERROR(IF(ISNUMBER(BK14),INDEX('2.Distances'!D2:D962,BK13*31+BK14 + 1) +BQ13," ")," ")</f>
        <v xml:space="preserve"> </v>
      </c>
      <c r="BQ14" s="70" t="str">
        <f ca="1">IFERROR(IF(AND(BK5&lt;&gt;BK14,ISNUMBER(BP14)),INDEX('1.Locations'!I2:I32,BK14 + 1) + MAX(BP14,INDEX('1.Locations'!F2:F32,BK14 + 1))," ")," ")</f>
        <v xml:space="preserve"> </v>
      </c>
      <c r="BR14" s="69" t="str">
        <f ca="1">IFERROR(IF(BK5 = BK14, BP14 - BQ5, BQ14 - BQ5)," ")</f>
        <v xml:space="preserve"> </v>
      </c>
      <c r="BS14" s="67" t="str">
        <f ca="1">IFERROR(IF(ISNUMBER(BK14),INDEX('1.Locations'!L2:L32,BK14 + 1) + BS13," ")," ")</f>
        <v xml:space="preserve"> </v>
      </c>
      <c r="BT14" s="67" t="str">
        <f ca="1">IFERROR(IF(ISNUMBER(BK14),INDEX('1.Locations'!J2:J32,BK14 + 1)," ")," ")</f>
        <v xml:space="preserve"> </v>
      </c>
      <c r="BU14" s="67" t="str">
        <f ca="1">IFERROR(IF(ISNUMBER(BK14),INDEX('1.Locations'!K2:K32,BK14 + 1)," ")," ")</f>
        <v xml:space="preserve"> </v>
      </c>
      <c r="BV14" s="67" t="str">
        <f ca="1">IFERROR(IF(ISNUMBER(BK14),SUM(BT5:BT14) + SUM(BU15:BU36)," ")," ")</f>
        <v xml:space="preserve"> </v>
      </c>
      <c r="BX14" s="17">
        <v>9</v>
      </c>
      <c r="BY14" s="18"/>
      <c r="BZ14" s="67" t="str">
        <f ca="1">IFERROR(MATCH(INDIRECT("BY14"),'1.Locations'!B2:B32, 0) - 1," ")</f>
        <v xml:space="preserve"> </v>
      </c>
      <c r="CA14" s="67" t="e">
        <f ca="1">IFERROR(IF(ISNUMBER(BZ14),INDEX('1.Locations'!D2:D32,BZ14 + 1),NA()),NA())</f>
        <v>#N/A</v>
      </c>
      <c r="CB14" s="67" t="e">
        <f ca="1">IFERROR(IF(ISNUMBER(BZ14),INDEX('1.Locations'!E2:E32,BZ14 + 1),NA()),NA())</f>
        <v>#N/A</v>
      </c>
      <c r="CC14" s="68" t="str">
        <f ca="1">IFERROR(IF(ISNUMBER(BZ14),INDEX('2.Distances'!C2:C962,BZ13*31+BZ14+ 1) +CC13," ")," ")</f>
        <v xml:space="preserve"> </v>
      </c>
      <c r="CD14" s="69" t="str">
        <f ca="1">IFERROR(IF(ISNUMBER(BZ14),INDEX('2.Distances'!D2:D962,BZ13*31+BZ14 + 1) +CD13," ")," ")</f>
        <v xml:space="preserve"> </v>
      </c>
      <c r="CE14" s="70" t="str">
        <f ca="1">IFERROR(IF(ISNUMBER(BZ14),INDEX('2.Distances'!D2:D962,BZ13*31+BZ14 + 1) +CF13," ")," ")</f>
        <v xml:space="preserve"> </v>
      </c>
      <c r="CF14" s="70" t="str">
        <f ca="1">IFERROR(IF(AND(BZ5&lt;&gt;BZ14,ISNUMBER(CE14)),INDEX('1.Locations'!I2:I32,BZ14 + 1) + MAX(CE14,INDEX('1.Locations'!F2:F32,BZ14 + 1))," ")," ")</f>
        <v xml:space="preserve"> </v>
      </c>
      <c r="CG14" s="69" t="str">
        <f ca="1">IFERROR(IF(BZ5 = BZ14, CE14 - CF5, CF14 - CF5)," ")</f>
        <v xml:space="preserve"> </v>
      </c>
      <c r="CH14" s="67" t="str">
        <f ca="1">IFERROR(IF(ISNUMBER(BZ14),INDEX('1.Locations'!L2:L32,BZ14 + 1) + CH13," ")," ")</f>
        <v xml:space="preserve"> </v>
      </c>
      <c r="CI14" s="67" t="str">
        <f ca="1">IFERROR(IF(ISNUMBER(BZ14),INDEX('1.Locations'!J2:J32,BZ14 + 1)," ")," ")</f>
        <v xml:space="preserve"> </v>
      </c>
      <c r="CJ14" s="67" t="str">
        <f ca="1">IFERROR(IF(ISNUMBER(BZ14),INDEX('1.Locations'!K2:K32,BZ14 + 1)," ")," ")</f>
        <v xml:space="preserve"> </v>
      </c>
      <c r="CK14" s="67" t="str">
        <f ca="1">IFERROR(IF(ISNUMBER(BZ14),SUM(CI5:CI14) + SUM(CJ15:CJ36)," ")," ")</f>
        <v xml:space="preserve"> </v>
      </c>
      <c r="CM14" s="17">
        <v>9</v>
      </c>
      <c r="CN14" s="18"/>
      <c r="CO14" s="67" t="str">
        <f ca="1">IFERROR(MATCH(INDIRECT("CN14"),'1.Locations'!B2:B32, 0) - 1," ")</f>
        <v xml:space="preserve"> </v>
      </c>
      <c r="CP14" s="67" t="e">
        <f ca="1">IFERROR(IF(ISNUMBER(CO14),INDEX('1.Locations'!D2:D32,CO14 + 1),NA()),NA())</f>
        <v>#N/A</v>
      </c>
      <c r="CQ14" s="67" t="e">
        <f ca="1">IFERROR(IF(ISNUMBER(CO14),INDEX('1.Locations'!E2:E32,CO14 + 1),NA()),NA())</f>
        <v>#N/A</v>
      </c>
      <c r="CR14" s="68" t="str">
        <f ca="1">IFERROR(IF(ISNUMBER(CO14),INDEX('2.Distances'!C2:C962,CO13*31+CO14+ 1) +CR13," ")," ")</f>
        <v xml:space="preserve"> </v>
      </c>
      <c r="CS14" s="69" t="str">
        <f ca="1">IFERROR(IF(ISNUMBER(CO14),INDEX('2.Distances'!D2:D962,CO13*31+CO14 + 1) +CS13," ")," ")</f>
        <v xml:space="preserve"> </v>
      </c>
      <c r="CT14" s="70" t="str">
        <f ca="1">IFERROR(IF(ISNUMBER(CO14),INDEX('2.Distances'!D2:D962,CO13*31+CO14 + 1) +CU13," ")," ")</f>
        <v xml:space="preserve"> </v>
      </c>
      <c r="CU14" s="70" t="str">
        <f ca="1">IFERROR(IF(AND(CO5&lt;&gt;CO14,ISNUMBER(CT14)),INDEX('1.Locations'!I2:I32,CO14 + 1) + MAX(CT14,INDEX('1.Locations'!F2:F32,CO14 + 1))," ")," ")</f>
        <v xml:space="preserve"> </v>
      </c>
      <c r="CV14" s="69" t="str">
        <f ca="1">IFERROR(IF(CO5 = CO14, CT14 - CU5, CU14 - CU5)," ")</f>
        <v xml:space="preserve"> </v>
      </c>
      <c r="CW14" s="67" t="str">
        <f ca="1">IFERROR(IF(ISNUMBER(CO14),INDEX('1.Locations'!L2:L32,CO14 + 1) + CW13," ")," ")</f>
        <v xml:space="preserve"> </v>
      </c>
      <c r="CX14" s="67" t="str">
        <f ca="1">IFERROR(IF(ISNUMBER(CO14),INDEX('1.Locations'!J2:J32,CO14 + 1)," ")," ")</f>
        <v xml:space="preserve"> </v>
      </c>
      <c r="CY14" s="67" t="str">
        <f ca="1">IFERROR(IF(ISNUMBER(CO14),INDEX('1.Locations'!K2:K32,CO14 + 1)," ")," ")</f>
        <v xml:space="preserve"> </v>
      </c>
      <c r="CZ14" s="67" t="str">
        <f ca="1">IFERROR(IF(ISNUMBER(CO14),SUM(CX5:CX14) + SUM(CY15:CY36)," ")," ")</f>
        <v xml:space="preserve"> </v>
      </c>
      <c r="DB14" s="17">
        <v>9</v>
      </c>
      <c r="DC14" s="18"/>
      <c r="DD14" s="67" t="str">
        <f ca="1">IFERROR(MATCH(INDIRECT("DC14"),'1.Locations'!B2:B32, 0) - 1," ")</f>
        <v xml:space="preserve"> </v>
      </c>
      <c r="DE14" s="67" t="e">
        <f ca="1">IFERROR(IF(ISNUMBER(DD14),INDEX('1.Locations'!D2:D32,DD14 + 1),NA()),NA())</f>
        <v>#N/A</v>
      </c>
      <c r="DF14" s="67" t="e">
        <f ca="1">IFERROR(IF(ISNUMBER(DD14),INDEX('1.Locations'!E2:E32,DD14 + 1),NA()),NA())</f>
        <v>#N/A</v>
      </c>
      <c r="DG14" s="68" t="str">
        <f ca="1">IFERROR(IF(ISNUMBER(DD14),INDEX('2.Distances'!C2:C962,DD13*31+DD14+ 1) +DG13," ")," ")</f>
        <v xml:space="preserve"> </v>
      </c>
      <c r="DH14" s="69" t="str">
        <f ca="1">IFERROR(IF(ISNUMBER(DD14),INDEX('2.Distances'!D2:D962,DD13*31+DD14 + 1) +DH13," ")," ")</f>
        <v xml:space="preserve"> </v>
      </c>
      <c r="DI14" s="70" t="str">
        <f ca="1">IFERROR(IF(ISNUMBER(DD14),INDEX('2.Distances'!D2:D962,DD13*31+DD14 + 1) +DJ13," ")," ")</f>
        <v xml:space="preserve"> </v>
      </c>
      <c r="DJ14" s="70" t="str">
        <f ca="1">IFERROR(IF(AND(DD5&lt;&gt;DD14,ISNUMBER(DI14)),INDEX('1.Locations'!I2:I32,DD14 + 1) + MAX(DI14,INDEX('1.Locations'!F2:F32,DD14 + 1))," ")," ")</f>
        <v xml:space="preserve"> </v>
      </c>
      <c r="DK14" s="69" t="str">
        <f ca="1">IFERROR(IF(DD5 = DD14, DI14 - DJ5, DJ14 - DJ5)," ")</f>
        <v xml:space="preserve"> </v>
      </c>
      <c r="DL14" s="67" t="str">
        <f ca="1">IFERROR(IF(ISNUMBER(DD14),INDEX('1.Locations'!L2:L32,DD14 + 1) + DL13," ")," ")</f>
        <v xml:space="preserve"> </v>
      </c>
      <c r="DM14" s="67" t="str">
        <f ca="1">IFERROR(IF(ISNUMBER(DD14),INDEX('1.Locations'!J2:J32,DD14 + 1)," ")," ")</f>
        <v xml:space="preserve"> </v>
      </c>
      <c r="DN14" s="67" t="str">
        <f ca="1">IFERROR(IF(ISNUMBER(DD14),INDEX('1.Locations'!K2:K32,DD14 + 1)," ")," ")</f>
        <v xml:space="preserve"> </v>
      </c>
      <c r="DO14" s="67" t="str">
        <f ca="1">IFERROR(IF(ISNUMBER(DD14),SUM(DM5:DM14) + SUM(DN15:DN36)," ")," ")</f>
        <v xml:space="preserve"> </v>
      </c>
      <c r="DQ14" s="17">
        <v>9</v>
      </c>
      <c r="DR14" s="18"/>
      <c r="DS14" s="67" t="str">
        <f ca="1">IFERROR(MATCH(INDIRECT("DR14"),'1.Locations'!B2:B32, 0) - 1," ")</f>
        <v xml:space="preserve"> </v>
      </c>
      <c r="DT14" s="67" t="e">
        <f ca="1">IFERROR(IF(ISNUMBER(DS14),INDEX('1.Locations'!D2:D32,DS14 + 1),NA()),NA())</f>
        <v>#N/A</v>
      </c>
      <c r="DU14" s="67" t="e">
        <f ca="1">IFERROR(IF(ISNUMBER(DS14),INDEX('1.Locations'!E2:E32,DS14 + 1),NA()),NA())</f>
        <v>#N/A</v>
      </c>
      <c r="DV14" s="68" t="str">
        <f ca="1">IFERROR(IF(ISNUMBER(DS14),INDEX('2.Distances'!C2:C962,DS13*31+DS14+ 1) +DV13," ")," ")</f>
        <v xml:space="preserve"> </v>
      </c>
      <c r="DW14" s="69" t="str">
        <f ca="1">IFERROR(IF(ISNUMBER(DS14),INDEX('2.Distances'!D2:D962,DS13*31+DS14 + 1) +DW13," ")," ")</f>
        <v xml:space="preserve"> </v>
      </c>
      <c r="DX14" s="70" t="str">
        <f ca="1">IFERROR(IF(ISNUMBER(DS14),INDEX('2.Distances'!D2:D962,DS13*31+DS14 + 1) +DY13," ")," ")</f>
        <v xml:space="preserve"> </v>
      </c>
      <c r="DY14" s="70" t="str">
        <f ca="1">IFERROR(IF(AND(DS5&lt;&gt;DS14,ISNUMBER(DX14)),INDEX('1.Locations'!I2:I32,DS14 + 1) + MAX(DX14,INDEX('1.Locations'!F2:F32,DS14 + 1))," ")," ")</f>
        <v xml:space="preserve"> </v>
      </c>
      <c r="DZ14" s="69" t="str">
        <f ca="1">IFERROR(IF(DS5 = DS14, DX14 - DY5, DY14 - DY5)," ")</f>
        <v xml:space="preserve"> </v>
      </c>
      <c r="EA14" s="67" t="str">
        <f ca="1">IFERROR(IF(ISNUMBER(DS14),INDEX('1.Locations'!L2:L32,DS14 + 1) + EA13," ")," ")</f>
        <v xml:space="preserve"> </v>
      </c>
      <c r="EB14" s="67" t="str">
        <f ca="1">IFERROR(IF(ISNUMBER(DS14),INDEX('1.Locations'!J2:J32,DS14 + 1)," ")," ")</f>
        <v xml:space="preserve"> </v>
      </c>
      <c r="EC14" s="67" t="str">
        <f ca="1">IFERROR(IF(ISNUMBER(DS14),INDEX('1.Locations'!K2:K32,DS14 + 1)," ")," ")</f>
        <v xml:space="preserve"> </v>
      </c>
      <c r="ED14" s="67" t="str">
        <f ca="1">IFERROR(IF(ISNUMBER(DS14),SUM(EB5:EB14) + SUM(EC15:EC36)," ")," ")</f>
        <v xml:space="preserve"> </v>
      </c>
      <c r="EF14" s="17">
        <v>9</v>
      </c>
      <c r="EG14" s="18"/>
      <c r="EH14" s="67" t="str">
        <f ca="1">IFERROR(MATCH(INDIRECT("EG14"),'1.Locations'!B2:B32, 0) - 1," ")</f>
        <v xml:space="preserve"> </v>
      </c>
      <c r="EI14" s="67" t="e">
        <f ca="1">IFERROR(IF(ISNUMBER(EH14),INDEX('1.Locations'!D2:D32,EH14 + 1),NA()),NA())</f>
        <v>#N/A</v>
      </c>
      <c r="EJ14" s="67" t="e">
        <f ca="1">IFERROR(IF(ISNUMBER(EH14),INDEX('1.Locations'!E2:E32,EH14 + 1),NA()),NA())</f>
        <v>#N/A</v>
      </c>
      <c r="EK14" s="68" t="str">
        <f ca="1">IFERROR(IF(ISNUMBER(EH14),INDEX('2.Distances'!C2:C962,EH13*31+EH14+ 1) +EK13," ")," ")</f>
        <v xml:space="preserve"> </v>
      </c>
      <c r="EL14" s="69" t="str">
        <f ca="1">IFERROR(IF(ISNUMBER(EH14),INDEX('2.Distances'!D2:D962,EH13*31+EH14 + 1) +EL13," ")," ")</f>
        <v xml:space="preserve"> </v>
      </c>
      <c r="EM14" s="70" t="str">
        <f ca="1">IFERROR(IF(ISNUMBER(EH14),INDEX('2.Distances'!D2:D962,EH13*31+EH14 + 1) +EN13," ")," ")</f>
        <v xml:space="preserve"> </v>
      </c>
      <c r="EN14" s="70" t="str">
        <f ca="1">IFERROR(IF(AND(EH5&lt;&gt;EH14,ISNUMBER(EM14)),INDEX('1.Locations'!I2:I32,EH14 + 1) + MAX(EM14,INDEX('1.Locations'!F2:F32,EH14 + 1))," ")," ")</f>
        <v xml:space="preserve"> </v>
      </c>
      <c r="EO14" s="69" t="str">
        <f ca="1">IFERROR(IF(EH5 = EH14, EM14 - EN5, EN14 - EN5)," ")</f>
        <v xml:space="preserve"> </v>
      </c>
      <c r="EP14" s="67" t="str">
        <f ca="1">IFERROR(IF(ISNUMBER(EH14),INDEX('1.Locations'!L2:L32,EH14 + 1) + EP13," ")," ")</f>
        <v xml:space="preserve"> </v>
      </c>
      <c r="EQ14" s="67" t="str">
        <f ca="1">IFERROR(IF(ISNUMBER(EH14),INDEX('1.Locations'!J2:J32,EH14 + 1)," ")," ")</f>
        <v xml:space="preserve"> </v>
      </c>
      <c r="ER14" s="67" t="str">
        <f ca="1">IFERROR(IF(ISNUMBER(EH14),INDEX('1.Locations'!K2:K32,EH14 + 1)," ")," ")</f>
        <v xml:space="preserve"> </v>
      </c>
      <c r="ES14" s="67" t="str">
        <f ca="1">IFERROR(IF(ISNUMBER(EH14),SUM(EQ5:EQ14) + SUM(ER15:ER36)," ")," ")</f>
        <v xml:space="preserve"> </v>
      </c>
    </row>
    <row r="15" spans="1:149" x14ac:dyDescent="0.25">
      <c r="A15" s="17">
        <v>10</v>
      </c>
      <c r="B15" s="21"/>
      <c r="C15" s="67" t="str">
        <f ca="1">IFERROR(MATCH(INDIRECT("B15"),'1.Locations'!B2:B32, 0) - 1," ")</f>
        <v xml:space="preserve"> </v>
      </c>
      <c r="D15" s="67" t="e">
        <f ca="1">IFERROR(IF(ISNUMBER(C15),INDEX('1.Locations'!D2:D32,C15 + 1),NA()),NA())</f>
        <v>#N/A</v>
      </c>
      <c r="E15" s="67" t="e">
        <f ca="1">IFERROR(IF(ISNUMBER(C15),INDEX('1.Locations'!E2:E32,C15 + 1),NA()),NA())</f>
        <v>#N/A</v>
      </c>
      <c r="F15" s="68" t="str">
        <f ca="1">IFERROR(IF(ISNUMBER(C15),INDEX('2.Distances'!C2:C962,C14*31+C15+ 1) +F14," ")," ")</f>
        <v xml:space="preserve"> </v>
      </c>
      <c r="G15" s="69" t="str">
        <f ca="1">IFERROR(IF(ISNUMBER(C15),INDEX('2.Distances'!D2:D962,C14*31+C15 + 1) +G14," ")," ")</f>
        <v xml:space="preserve"> </v>
      </c>
      <c r="H15" s="70" t="str">
        <f ca="1">IFERROR(IF(ISNUMBER(C15),INDEX('2.Distances'!D2:D962,C14*31+C15 + 1) +I14," ")," ")</f>
        <v xml:space="preserve"> </v>
      </c>
      <c r="I15" s="70" t="str">
        <f ca="1">IFERROR(IF(AND(C5&lt;&gt;C15,ISNUMBER(H15)),INDEX('1.Locations'!I2:I32,C15 + 1) + MAX(H15,INDEX('1.Locations'!F2:F32,C15 + 1))," ")," ")</f>
        <v xml:space="preserve"> </v>
      </c>
      <c r="J15" s="69" t="str">
        <f ca="1">IFERROR(IF(C5 = C15, H15 - I5, I15 - I5)," ")</f>
        <v xml:space="preserve"> </v>
      </c>
      <c r="K15" s="67" t="str">
        <f ca="1">IFERROR(IF(ISNUMBER(C15),INDEX('1.Locations'!L2:L32,C15 + 1) + K14," ")," ")</f>
        <v xml:space="preserve"> </v>
      </c>
      <c r="L15" s="67" t="str">
        <f ca="1">IFERROR(IF(ISNUMBER(C15),INDEX('1.Locations'!J2:J32,C15 + 1)," ")," ")</f>
        <v xml:space="preserve"> </v>
      </c>
      <c r="M15" s="67" t="str">
        <f ca="1">IFERROR(IF(ISNUMBER(C15),INDEX('1.Locations'!K2:K32,C15 + 1)," ")," ")</f>
        <v xml:space="preserve"> </v>
      </c>
      <c r="N15" s="67" t="str">
        <f ca="1">IFERROR(IF(ISNUMBER(C15),SUM(L5:L15) + SUM(M16:M36)," ")," ")</f>
        <v xml:space="preserve"> </v>
      </c>
      <c r="P15" s="17">
        <v>10</v>
      </c>
      <c r="Q15" s="21"/>
      <c r="R15" s="67" t="str">
        <f ca="1">IFERROR(MATCH(INDIRECT("Q15"),'1.Locations'!B2:B32, 0) - 1," ")</f>
        <v xml:space="preserve"> </v>
      </c>
      <c r="S15" s="67" t="e">
        <f ca="1">IFERROR(IF(ISNUMBER(R15),INDEX('1.Locations'!D2:D32,R15 + 1),NA()),NA())</f>
        <v>#N/A</v>
      </c>
      <c r="T15" s="67" t="e">
        <f ca="1">IFERROR(IF(ISNUMBER(R15),INDEX('1.Locations'!E2:E32,R15 + 1),NA()),NA())</f>
        <v>#N/A</v>
      </c>
      <c r="U15" s="68" t="str">
        <f ca="1">IFERROR(IF(ISNUMBER(R15),INDEX('2.Distances'!C2:C962,R14*31+R15+ 1) +U14," ")," ")</f>
        <v xml:space="preserve"> </v>
      </c>
      <c r="V15" s="69" t="str">
        <f ca="1">IFERROR(IF(ISNUMBER(R15),INDEX('2.Distances'!D2:D962,R14*31+R15 + 1) +V14," ")," ")</f>
        <v xml:space="preserve"> </v>
      </c>
      <c r="W15" s="70" t="str">
        <f ca="1">IFERROR(IF(ISNUMBER(R15),INDEX('2.Distances'!D2:D962,R14*31+R15 + 1) +X14," ")," ")</f>
        <v xml:space="preserve"> </v>
      </c>
      <c r="X15" s="70" t="str">
        <f ca="1">IFERROR(IF(AND(R5&lt;&gt;R15,ISNUMBER(W15)),INDEX('1.Locations'!I2:I32,R15 + 1) + MAX(W15,INDEX('1.Locations'!F2:F32,R15 + 1))," ")," ")</f>
        <v xml:space="preserve"> </v>
      </c>
      <c r="Y15" s="69" t="str">
        <f ca="1">IFERROR(IF(R5 = R15, W15 - X5, X15 - X5)," ")</f>
        <v xml:space="preserve"> </v>
      </c>
      <c r="Z15" s="67" t="str">
        <f ca="1">IFERROR(IF(ISNUMBER(R15),INDEX('1.Locations'!L2:L32,R15 + 1) + Z14," ")," ")</f>
        <v xml:space="preserve"> </v>
      </c>
      <c r="AA15" s="67" t="str">
        <f ca="1">IFERROR(IF(ISNUMBER(R15),INDEX('1.Locations'!J2:J32,R15 + 1)," ")," ")</f>
        <v xml:space="preserve"> </v>
      </c>
      <c r="AB15" s="67" t="str">
        <f ca="1">IFERROR(IF(ISNUMBER(R15),INDEX('1.Locations'!K2:K32,R15 + 1)," ")," ")</f>
        <v xml:space="preserve"> </v>
      </c>
      <c r="AC15" s="67" t="str">
        <f ca="1">IFERROR(IF(ISNUMBER(R15),SUM(AA5:AA15) + SUM(AB16:AB36)," ")," ")</f>
        <v xml:space="preserve"> </v>
      </c>
      <c r="AE15" s="17">
        <v>10</v>
      </c>
      <c r="AF15" s="21"/>
      <c r="AG15" s="67" t="str">
        <f ca="1">IFERROR(MATCH(INDIRECT("AF15"),'1.Locations'!B2:B32, 0) - 1," ")</f>
        <v xml:space="preserve"> </v>
      </c>
      <c r="AH15" s="67" t="e">
        <f ca="1">IFERROR(IF(ISNUMBER(AG15),INDEX('1.Locations'!D2:D32,AG15 + 1),NA()),NA())</f>
        <v>#N/A</v>
      </c>
      <c r="AI15" s="67" t="e">
        <f ca="1">IFERROR(IF(ISNUMBER(AG15),INDEX('1.Locations'!E2:E32,AG15 + 1),NA()),NA())</f>
        <v>#N/A</v>
      </c>
      <c r="AJ15" s="68" t="str">
        <f ca="1">IFERROR(IF(ISNUMBER(AG15),INDEX('2.Distances'!C2:C962,AG14*31+AG15+ 1) +AJ14," ")," ")</f>
        <v xml:space="preserve"> </v>
      </c>
      <c r="AK15" s="69" t="str">
        <f ca="1">IFERROR(IF(ISNUMBER(AG15),INDEX('2.Distances'!D2:D962,AG14*31+AG15 + 1) +AK14," ")," ")</f>
        <v xml:space="preserve"> </v>
      </c>
      <c r="AL15" s="70" t="str">
        <f ca="1">IFERROR(IF(ISNUMBER(AG15),INDEX('2.Distances'!D2:D962,AG14*31+AG15 + 1) +AM14," ")," ")</f>
        <v xml:space="preserve"> </v>
      </c>
      <c r="AM15" s="70" t="str">
        <f ca="1">IFERROR(IF(AND(AG5&lt;&gt;AG15,ISNUMBER(AL15)),INDEX('1.Locations'!I2:I32,AG15 + 1) + MAX(AL15,INDEX('1.Locations'!F2:F32,AG15 + 1))," ")," ")</f>
        <v xml:space="preserve"> </v>
      </c>
      <c r="AN15" s="69" t="str">
        <f ca="1">IFERROR(IF(AG5 = AG15, AL15 - AM5, AM15 - AM5)," ")</f>
        <v xml:space="preserve"> </v>
      </c>
      <c r="AO15" s="67" t="str">
        <f ca="1">IFERROR(IF(ISNUMBER(AG15),INDEX('1.Locations'!L2:L32,AG15 + 1) + AO14," ")," ")</f>
        <v xml:space="preserve"> </v>
      </c>
      <c r="AP15" s="67" t="str">
        <f ca="1">IFERROR(IF(ISNUMBER(AG15),INDEX('1.Locations'!J2:J32,AG15 + 1)," ")," ")</f>
        <v xml:space="preserve"> </v>
      </c>
      <c r="AQ15" s="67" t="str">
        <f ca="1">IFERROR(IF(ISNUMBER(AG15),INDEX('1.Locations'!K2:K32,AG15 + 1)," ")," ")</f>
        <v xml:space="preserve"> </v>
      </c>
      <c r="AR15" s="67" t="str">
        <f ca="1">IFERROR(IF(ISNUMBER(AG15),SUM(AP5:AP15) + SUM(AQ16:AQ36)," ")," ")</f>
        <v xml:space="preserve"> </v>
      </c>
      <c r="AT15" s="17">
        <v>10</v>
      </c>
      <c r="AU15" s="21"/>
      <c r="AV15" s="67" t="str">
        <f ca="1">IFERROR(MATCH(INDIRECT("AU15"),'1.Locations'!B2:B32, 0) - 1," ")</f>
        <v xml:space="preserve"> </v>
      </c>
      <c r="AW15" s="67" t="e">
        <f ca="1">IFERROR(IF(ISNUMBER(AV15),INDEX('1.Locations'!D2:D32,AV15 + 1),NA()),NA())</f>
        <v>#N/A</v>
      </c>
      <c r="AX15" s="67" t="e">
        <f ca="1">IFERROR(IF(ISNUMBER(AV15),INDEX('1.Locations'!E2:E32,AV15 + 1),NA()),NA())</f>
        <v>#N/A</v>
      </c>
      <c r="AY15" s="68" t="str">
        <f ca="1">IFERROR(IF(ISNUMBER(AV15),INDEX('2.Distances'!C2:C962,AV14*31+AV15+ 1) +AY14," ")," ")</f>
        <v xml:space="preserve"> </v>
      </c>
      <c r="AZ15" s="69" t="str">
        <f ca="1">IFERROR(IF(ISNUMBER(AV15),INDEX('2.Distances'!D2:D962,AV14*31+AV15 + 1) +AZ14," ")," ")</f>
        <v xml:space="preserve"> </v>
      </c>
      <c r="BA15" s="70" t="str">
        <f ca="1">IFERROR(IF(ISNUMBER(AV15),INDEX('2.Distances'!D2:D962,AV14*31+AV15 + 1) +BB14," ")," ")</f>
        <v xml:space="preserve"> </v>
      </c>
      <c r="BB15" s="70" t="str">
        <f ca="1">IFERROR(IF(AND(AV5&lt;&gt;AV15,ISNUMBER(BA15)),INDEX('1.Locations'!I2:I32,AV15 + 1) + MAX(BA15,INDEX('1.Locations'!F2:F32,AV15 + 1))," ")," ")</f>
        <v xml:space="preserve"> </v>
      </c>
      <c r="BC15" s="69" t="str">
        <f ca="1">IFERROR(IF(AV5 = AV15, BA15 - BB5, BB15 - BB5)," ")</f>
        <v xml:space="preserve"> </v>
      </c>
      <c r="BD15" s="67" t="str">
        <f ca="1">IFERROR(IF(ISNUMBER(AV15),INDEX('1.Locations'!L2:L32,AV15 + 1) + BD14," ")," ")</f>
        <v xml:space="preserve"> </v>
      </c>
      <c r="BE15" s="67" t="str">
        <f ca="1">IFERROR(IF(ISNUMBER(AV15),INDEX('1.Locations'!J2:J32,AV15 + 1)," ")," ")</f>
        <v xml:space="preserve"> </v>
      </c>
      <c r="BF15" s="67" t="str">
        <f ca="1">IFERROR(IF(ISNUMBER(AV15),INDEX('1.Locations'!K2:K32,AV15 + 1)," ")," ")</f>
        <v xml:space="preserve"> </v>
      </c>
      <c r="BG15" s="67" t="str">
        <f ca="1">IFERROR(IF(ISNUMBER(AV15),SUM(BE5:BE15) + SUM(BF16:BF36)," ")," ")</f>
        <v xml:space="preserve"> </v>
      </c>
      <c r="BI15" s="17">
        <v>10</v>
      </c>
      <c r="BJ15" s="21"/>
      <c r="BK15" s="67" t="str">
        <f ca="1">IFERROR(MATCH(INDIRECT("BJ15"),'1.Locations'!B2:B32, 0) - 1," ")</f>
        <v xml:space="preserve"> </v>
      </c>
      <c r="BL15" s="67" t="e">
        <f ca="1">IFERROR(IF(ISNUMBER(BK15),INDEX('1.Locations'!D2:D32,BK15 + 1),NA()),NA())</f>
        <v>#N/A</v>
      </c>
      <c r="BM15" s="67" t="e">
        <f ca="1">IFERROR(IF(ISNUMBER(BK15),INDEX('1.Locations'!E2:E32,BK15 + 1),NA()),NA())</f>
        <v>#N/A</v>
      </c>
      <c r="BN15" s="68" t="str">
        <f ca="1">IFERROR(IF(ISNUMBER(BK15),INDEX('2.Distances'!C2:C962,BK14*31+BK15+ 1) +BN14," ")," ")</f>
        <v xml:space="preserve"> </v>
      </c>
      <c r="BO15" s="69" t="str">
        <f ca="1">IFERROR(IF(ISNUMBER(BK15),INDEX('2.Distances'!D2:D962,BK14*31+BK15 + 1) +BO14," ")," ")</f>
        <v xml:space="preserve"> </v>
      </c>
      <c r="BP15" s="70" t="str">
        <f ca="1">IFERROR(IF(ISNUMBER(BK15),INDEX('2.Distances'!D2:D962,BK14*31+BK15 + 1) +BQ14," ")," ")</f>
        <v xml:space="preserve"> </v>
      </c>
      <c r="BQ15" s="70" t="str">
        <f ca="1">IFERROR(IF(AND(BK5&lt;&gt;BK15,ISNUMBER(BP15)),INDEX('1.Locations'!I2:I32,BK15 + 1) + MAX(BP15,INDEX('1.Locations'!F2:F32,BK15 + 1))," ")," ")</f>
        <v xml:space="preserve"> </v>
      </c>
      <c r="BR15" s="69" t="str">
        <f ca="1">IFERROR(IF(BK5 = BK15, BP15 - BQ5, BQ15 - BQ5)," ")</f>
        <v xml:space="preserve"> </v>
      </c>
      <c r="BS15" s="67" t="str">
        <f ca="1">IFERROR(IF(ISNUMBER(BK15),INDEX('1.Locations'!L2:L32,BK15 + 1) + BS14," ")," ")</f>
        <v xml:space="preserve"> </v>
      </c>
      <c r="BT15" s="67" t="str">
        <f ca="1">IFERROR(IF(ISNUMBER(BK15),INDEX('1.Locations'!J2:J32,BK15 + 1)," ")," ")</f>
        <v xml:space="preserve"> </v>
      </c>
      <c r="BU15" s="67" t="str">
        <f ca="1">IFERROR(IF(ISNUMBER(BK15),INDEX('1.Locations'!K2:K32,BK15 + 1)," ")," ")</f>
        <v xml:space="preserve"> </v>
      </c>
      <c r="BV15" s="67" t="str">
        <f ca="1">IFERROR(IF(ISNUMBER(BK15),SUM(BT5:BT15) + SUM(BU16:BU36)," ")," ")</f>
        <v xml:space="preserve"> </v>
      </c>
      <c r="BX15" s="17">
        <v>10</v>
      </c>
      <c r="BY15" s="21"/>
      <c r="BZ15" s="67" t="str">
        <f ca="1">IFERROR(MATCH(INDIRECT("BY15"),'1.Locations'!B2:B32, 0) - 1," ")</f>
        <v xml:space="preserve"> </v>
      </c>
      <c r="CA15" s="67" t="e">
        <f ca="1">IFERROR(IF(ISNUMBER(BZ15),INDEX('1.Locations'!D2:D32,BZ15 + 1),NA()),NA())</f>
        <v>#N/A</v>
      </c>
      <c r="CB15" s="67" t="e">
        <f ca="1">IFERROR(IF(ISNUMBER(BZ15),INDEX('1.Locations'!E2:E32,BZ15 + 1),NA()),NA())</f>
        <v>#N/A</v>
      </c>
      <c r="CC15" s="68" t="str">
        <f ca="1">IFERROR(IF(ISNUMBER(BZ15),INDEX('2.Distances'!C2:C962,BZ14*31+BZ15+ 1) +CC14," ")," ")</f>
        <v xml:space="preserve"> </v>
      </c>
      <c r="CD15" s="69" t="str">
        <f ca="1">IFERROR(IF(ISNUMBER(BZ15),INDEX('2.Distances'!D2:D962,BZ14*31+BZ15 + 1) +CD14," ")," ")</f>
        <v xml:space="preserve"> </v>
      </c>
      <c r="CE15" s="70" t="str">
        <f ca="1">IFERROR(IF(ISNUMBER(BZ15),INDEX('2.Distances'!D2:D962,BZ14*31+BZ15 + 1) +CF14," ")," ")</f>
        <v xml:space="preserve"> </v>
      </c>
      <c r="CF15" s="70" t="str">
        <f ca="1">IFERROR(IF(AND(BZ5&lt;&gt;BZ15,ISNUMBER(CE15)),INDEX('1.Locations'!I2:I32,BZ15 + 1) + MAX(CE15,INDEX('1.Locations'!F2:F32,BZ15 + 1))," ")," ")</f>
        <v xml:space="preserve"> </v>
      </c>
      <c r="CG15" s="69" t="str">
        <f ca="1">IFERROR(IF(BZ5 = BZ15, CE15 - CF5, CF15 - CF5)," ")</f>
        <v xml:space="preserve"> </v>
      </c>
      <c r="CH15" s="67" t="str">
        <f ca="1">IFERROR(IF(ISNUMBER(BZ15),INDEX('1.Locations'!L2:L32,BZ15 + 1) + CH14," ")," ")</f>
        <v xml:space="preserve"> </v>
      </c>
      <c r="CI15" s="67" t="str">
        <f ca="1">IFERROR(IF(ISNUMBER(BZ15),INDEX('1.Locations'!J2:J32,BZ15 + 1)," ")," ")</f>
        <v xml:space="preserve"> </v>
      </c>
      <c r="CJ15" s="67" t="str">
        <f ca="1">IFERROR(IF(ISNUMBER(BZ15),INDEX('1.Locations'!K2:K32,BZ15 + 1)," ")," ")</f>
        <v xml:space="preserve"> </v>
      </c>
      <c r="CK15" s="67" t="str">
        <f ca="1">IFERROR(IF(ISNUMBER(BZ15),SUM(CI5:CI15) + SUM(CJ16:CJ36)," ")," ")</f>
        <v xml:space="preserve"> </v>
      </c>
      <c r="CM15" s="17">
        <v>10</v>
      </c>
      <c r="CN15" s="21"/>
      <c r="CO15" s="67" t="str">
        <f ca="1">IFERROR(MATCH(INDIRECT("CN15"),'1.Locations'!B2:B32, 0) - 1," ")</f>
        <v xml:space="preserve"> </v>
      </c>
      <c r="CP15" s="67" t="e">
        <f ca="1">IFERROR(IF(ISNUMBER(CO15),INDEX('1.Locations'!D2:D32,CO15 + 1),NA()),NA())</f>
        <v>#N/A</v>
      </c>
      <c r="CQ15" s="67" t="e">
        <f ca="1">IFERROR(IF(ISNUMBER(CO15),INDEX('1.Locations'!E2:E32,CO15 + 1),NA()),NA())</f>
        <v>#N/A</v>
      </c>
      <c r="CR15" s="68" t="str">
        <f ca="1">IFERROR(IF(ISNUMBER(CO15),INDEX('2.Distances'!C2:C962,CO14*31+CO15+ 1) +CR14," ")," ")</f>
        <v xml:space="preserve"> </v>
      </c>
      <c r="CS15" s="69" t="str">
        <f ca="1">IFERROR(IF(ISNUMBER(CO15),INDEX('2.Distances'!D2:D962,CO14*31+CO15 + 1) +CS14," ")," ")</f>
        <v xml:space="preserve"> </v>
      </c>
      <c r="CT15" s="70" t="str">
        <f ca="1">IFERROR(IF(ISNUMBER(CO15),INDEX('2.Distances'!D2:D962,CO14*31+CO15 + 1) +CU14," ")," ")</f>
        <v xml:space="preserve"> </v>
      </c>
      <c r="CU15" s="70" t="str">
        <f ca="1">IFERROR(IF(AND(CO5&lt;&gt;CO15,ISNUMBER(CT15)),INDEX('1.Locations'!I2:I32,CO15 + 1) + MAX(CT15,INDEX('1.Locations'!F2:F32,CO15 + 1))," ")," ")</f>
        <v xml:space="preserve"> </v>
      </c>
      <c r="CV15" s="69" t="str">
        <f ca="1">IFERROR(IF(CO5 = CO15, CT15 - CU5, CU15 - CU5)," ")</f>
        <v xml:space="preserve"> </v>
      </c>
      <c r="CW15" s="67" t="str">
        <f ca="1">IFERROR(IF(ISNUMBER(CO15),INDEX('1.Locations'!L2:L32,CO15 + 1) + CW14," ")," ")</f>
        <v xml:space="preserve"> </v>
      </c>
      <c r="CX15" s="67" t="str">
        <f ca="1">IFERROR(IF(ISNUMBER(CO15),INDEX('1.Locations'!J2:J32,CO15 + 1)," ")," ")</f>
        <v xml:space="preserve"> </v>
      </c>
      <c r="CY15" s="67" t="str">
        <f ca="1">IFERROR(IF(ISNUMBER(CO15),INDEX('1.Locations'!K2:K32,CO15 + 1)," ")," ")</f>
        <v xml:space="preserve"> </v>
      </c>
      <c r="CZ15" s="67" t="str">
        <f ca="1">IFERROR(IF(ISNUMBER(CO15),SUM(CX5:CX15) + SUM(CY16:CY36)," ")," ")</f>
        <v xml:space="preserve"> </v>
      </c>
      <c r="DB15" s="17">
        <v>10</v>
      </c>
      <c r="DC15" s="21"/>
      <c r="DD15" s="67" t="str">
        <f ca="1">IFERROR(MATCH(INDIRECT("DC15"),'1.Locations'!B2:B32, 0) - 1," ")</f>
        <v xml:space="preserve"> </v>
      </c>
      <c r="DE15" s="67" t="e">
        <f ca="1">IFERROR(IF(ISNUMBER(DD15),INDEX('1.Locations'!D2:D32,DD15 + 1),NA()),NA())</f>
        <v>#N/A</v>
      </c>
      <c r="DF15" s="67" t="e">
        <f ca="1">IFERROR(IF(ISNUMBER(DD15),INDEX('1.Locations'!E2:E32,DD15 + 1),NA()),NA())</f>
        <v>#N/A</v>
      </c>
      <c r="DG15" s="68" t="str">
        <f ca="1">IFERROR(IF(ISNUMBER(DD15),INDEX('2.Distances'!C2:C962,DD14*31+DD15+ 1) +DG14," ")," ")</f>
        <v xml:space="preserve"> </v>
      </c>
      <c r="DH15" s="69" t="str">
        <f ca="1">IFERROR(IF(ISNUMBER(DD15),INDEX('2.Distances'!D2:D962,DD14*31+DD15 + 1) +DH14," ")," ")</f>
        <v xml:space="preserve"> </v>
      </c>
      <c r="DI15" s="70" t="str">
        <f ca="1">IFERROR(IF(ISNUMBER(DD15),INDEX('2.Distances'!D2:D962,DD14*31+DD15 + 1) +DJ14," ")," ")</f>
        <v xml:space="preserve"> </v>
      </c>
      <c r="DJ15" s="70" t="str">
        <f ca="1">IFERROR(IF(AND(DD5&lt;&gt;DD15,ISNUMBER(DI15)),INDEX('1.Locations'!I2:I32,DD15 + 1) + MAX(DI15,INDEX('1.Locations'!F2:F32,DD15 + 1))," ")," ")</f>
        <v xml:space="preserve"> </v>
      </c>
      <c r="DK15" s="69" t="str">
        <f ca="1">IFERROR(IF(DD5 = DD15, DI15 - DJ5, DJ15 - DJ5)," ")</f>
        <v xml:space="preserve"> </v>
      </c>
      <c r="DL15" s="67" t="str">
        <f ca="1">IFERROR(IF(ISNUMBER(DD15),INDEX('1.Locations'!L2:L32,DD15 + 1) + DL14," ")," ")</f>
        <v xml:space="preserve"> </v>
      </c>
      <c r="DM15" s="67" t="str">
        <f ca="1">IFERROR(IF(ISNUMBER(DD15),INDEX('1.Locations'!J2:J32,DD15 + 1)," ")," ")</f>
        <v xml:space="preserve"> </v>
      </c>
      <c r="DN15" s="67" t="str">
        <f ca="1">IFERROR(IF(ISNUMBER(DD15),INDEX('1.Locations'!K2:K32,DD15 + 1)," ")," ")</f>
        <v xml:space="preserve"> </v>
      </c>
      <c r="DO15" s="67" t="str">
        <f ca="1">IFERROR(IF(ISNUMBER(DD15),SUM(DM5:DM15) + SUM(DN16:DN36)," ")," ")</f>
        <v xml:space="preserve"> </v>
      </c>
      <c r="DQ15" s="17">
        <v>10</v>
      </c>
      <c r="DR15" s="21"/>
      <c r="DS15" s="67" t="str">
        <f ca="1">IFERROR(MATCH(INDIRECT("DR15"),'1.Locations'!B2:B32, 0) - 1," ")</f>
        <v xml:space="preserve"> </v>
      </c>
      <c r="DT15" s="67" t="e">
        <f ca="1">IFERROR(IF(ISNUMBER(DS15),INDEX('1.Locations'!D2:D32,DS15 + 1),NA()),NA())</f>
        <v>#N/A</v>
      </c>
      <c r="DU15" s="67" t="e">
        <f ca="1">IFERROR(IF(ISNUMBER(DS15),INDEX('1.Locations'!E2:E32,DS15 + 1),NA()),NA())</f>
        <v>#N/A</v>
      </c>
      <c r="DV15" s="68" t="str">
        <f ca="1">IFERROR(IF(ISNUMBER(DS15),INDEX('2.Distances'!C2:C962,DS14*31+DS15+ 1) +DV14," ")," ")</f>
        <v xml:space="preserve"> </v>
      </c>
      <c r="DW15" s="69" t="str">
        <f ca="1">IFERROR(IF(ISNUMBER(DS15),INDEX('2.Distances'!D2:D962,DS14*31+DS15 + 1) +DW14," ")," ")</f>
        <v xml:space="preserve"> </v>
      </c>
      <c r="DX15" s="70" t="str">
        <f ca="1">IFERROR(IF(ISNUMBER(DS15),INDEX('2.Distances'!D2:D962,DS14*31+DS15 + 1) +DY14," ")," ")</f>
        <v xml:space="preserve"> </v>
      </c>
      <c r="DY15" s="70" t="str">
        <f ca="1">IFERROR(IF(AND(DS5&lt;&gt;DS15,ISNUMBER(DX15)),INDEX('1.Locations'!I2:I32,DS15 + 1) + MAX(DX15,INDEX('1.Locations'!F2:F32,DS15 + 1))," ")," ")</f>
        <v xml:space="preserve"> </v>
      </c>
      <c r="DZ15" s="69" t="str">
        <f ca="1">IFERROR(IF(DS5 = DS15, DX15 - DY5, DY15 - DY5)," ")</f>
        <v xml:space="preserve"> </v>
      </c>
      <c r="EA15" s="67" t="str">
        <f ca="1">IFERROR(IF(ISNUMBER(DS15),INDEX('1.Locations'!L2:L32,DS15 + 1) + EA14," ")," ")</f>
        <v xml:space="preserve"> </v>
      </c>
      <c r="EB15" s="67" t="str">
        <f ca="1">IFERROR(IF(ISNUMBER(DS15),INDEX('1.Locations'!J2:J32,DS15 + 1)," ")," ")</f>
        <v xml:space="preserve"> </v>
      </c>
      <c r="EC15" s="67" t="str">
        <f ca="1">IFERROR(IF(ISNUMBER(DS15),INDEX('1.Locations'!K2:K32,DS15 + 1)," ")," ")</f>
        <v xml:space="preserve"> </v>
      </c>
      <c r="ED15" s="67" t="str">
        <f ca="1">IFERROR(IF(ISNUMBER(DS15),SUM(EB5:EB15) + SUM(EC16:EC36)," ")," ")</f>
        <v xml:space="preserve"> </v>
      </c>
      <c r="EF15" s="17">
        <v>10</v>
      </c>
      <c r="EG15" s="21"/>
      <c r="EH15" s="67" t="str">
        <f ca="1">IFERROR(MATCH(INDIRECT("EG15"),'1.Locations'!B2:B32, 0) - 1," ")</f>
        <v xml:space="preserve"> </v>
      </c>
      <c r="EI15" s="67" t="e">
        <f ca="1">IFERROR(IF(ISNUMBER(EH15),INDEX('1.Locations'!D2:D32,EH15 + 1),NA()),NA())</f>
        <v>#N/A</v>
      </c>
      <c r="EJ15" s="67" t="e">
        <f ca="1">IFERROR(IF(ISNUMBER(EH15),INDEX('1.Locations'!E2:E32,EH15 + 1),NA()),NA())</f>
        <v>#N/A</v>
      </c>
      <c r="EK15" s="68" t="str">
        <f ca="1">IFERROR(IF(ISNUMBER(EH15),INDEX('2.Distances'!C2:C962,EH14*31+EH15+ 1) +EK14," ")," ")</f>
        <v xml:space="preserve"> </v>
      </c>
      <c r="EL15" s="69" t="str">
        <f ca="1">IFERROR(IF(ISNUMBER(EH15),INDEX('2.Distances'!D2:D962,EH14*31+EH15 + 1) +EL14," ")," ")</f>
        <v xml:space="preserve"> </v>
      </c>
      <c r="EM15" s="70" t="str">
        <f ca="1">IFERROR(IF(ISNUMBER(EH15),INDEX('2.Distances'!D2:D962,EH14*31+EH15 + 1) +EN14," ")," ")</f>
        <v xml:space="preserve"> </v>
      </c>
      <c r="EN15" s="70" t="str">
        <f ca="1">IFERROR(IF(AND(EH5&lt;&gt;EH15,ISNUMBER(EM15)),INDEX('1.Locations'!I2:I32,EH15 + 1) + MAX(EM15,INDEX('1.Locations'!F2:F32,EH15 + 1))," ")," ")</f>
        <v xml:space="preserve"> </v>
      </c>
      <c r="EO15" s="69" t="str">
        <f ca="1">IFERROR(IF(EH5 = EH15, EM15 - EN5, EN15 - EN5)," ")</f>
        <v xml:space="preserve"> </v>
      </c>
      <c r="EP15" s="67" t="str">
        <f ca="1">IFERROR(IF(ISNUMBER(EH15),INDEX('1.Locations'!L2:L32,EH15 + 1) + EP14," ")," ")</f>
        <v xml:space="preserve"> </v>
      </c>
      <c r="EQ15" s="67" t="str">
        <f ca="1">IFERROR(IF(ISNUMBER(EH15),INDEX('1.Locations'!J2:J32,EH15 + 1)," ")," ")</f>
        <v xml:space="preserve"> </v>
      </c>
      <c r="ER15" s="67" t="str">
        <f ca="1">IFERROR(IF(ISNUMBER(EH15),INDEX('1.Locations'!K2:K32,EH15 + 1)," ")," ")</f>
        <v xml:space="preserve"> </v>
      </c>
      <c r="ES15" s="67" t="str">
        <f ca="1">IFERROR(IF(ISNUMBER(EH15),SUM(EQ5:EQ15) + SUM(ER16:ER36)," ")," ")</f>
        <v xml:space="preserve"> </v>
      </c>
    </row>
    <row r="16" spans="1:149" x14ac:dyDescent="0.25">
      <c r="A16" s="17">
        <v>11</v>
      </c>
      <c r="B16" s="18"/>
      <c r="C16" s="67" t="str">
        <f ca="1">IFERROR(MATCH(INDIRECT("B16"),'1.Locations'!B2:B32, 0) - 1," ")</f>
        <v xml:space="preserve"> </v>
      </c>
      <c r="D16" s="67" t="e">
        <f ca="1">IFERROR(IF(ISNUMBER(C16),INDEX('1.Locations'!D2:D32,C16 + 1),NA()),NA())</f>
        <v>#N/A</v>
      </c>
      <c r="E16" s="67" t="e">
        <f ca="1">IFERROR(IF(ISNUMBER(C16),INDEX('1.Locations'!E2:E32,C16 + 1),NA()),NA())</f>
        <v>#N/A</v>
      </c>
      <c r="F16" s="68" t="str">
        <f ca="1">IFERROR(IF(ISNUMBER(C16),INDEX('2.Distances'!C2:C962,C15*31+C16+ 1) +F15," ")," ")</f>
        <v xml:space="preserve"> </v>
      </c>
      <c r="G16" s="69" t="str">
        <f ca="1">IFERROR(IF(ISNUMBER(C16),INDEX('2.Distances'!D2:D962,C15*31+C16 + 1) +G15," ")," ")</f>
        <v xml:space="preserve"> </v>
      </c>
      <c r="H16" s="70" t="str">
        <f ca="1">IFERROR(IF(ISNUMBER(C16),INDEX('2.Distances'!D2:D962,C15*31+C16 + 1) +I15," ")," ")</f>
        <v xml:space="preserve"> </v>
      </c>
      <c r="I16" s="70" t="str">
        <f ca="1">IFERROR(IF(AND(C5&lt;&gt;C16,ISNUMBER(H16)),INDEX('1.Locations'!I2:I32,C16 + 1) + MAX(H16,INDEX('1.Locations'!F2:F32,C16 + 1))," ")," ")</f>
        <v xml:space="preserve"> </v>
      </c>
      <c r="J16" s="69" t="str">
        <f ca="1">IFERROR(IF(C5 = C16, H16 - I5, I16 - I5)," ")</f>
        <v xml:space="preserve"> </v>
      </c>
      <c r="K16" s="67" t="str">
        <f ca="1">IFERROR(IF(ISNUMBER(C16),INDEX('1.Locations'!L2:L32,C16 + 1) + K15," ")," ")</f>
        <v xml:space="preserve"> </v>
      </c>
      <c r="L16" s="67" t="str">
        <f ca="1">IFERROR(IF(ISNUMBER(C16),INDEX('1.Locations'!J2:J32,C16 + 1)," ")," ")</f>
        <v xml:space="preserve"> </v>
      </c>
      <c r="M16" s="67" t="str">
        <f ca="1">IFERROR(IF(ISNUMBER(C16),INDEX('1.Locations'!K2:K32,C16 + 1)," ")," ")</f>
        <v xml:space="preserve"> </v>
      </c>
      <c r="N16" s="67" t="str">
        <f ca="1">IFERROR(IF(ISNUMBER(C16),SUM(L5:L16) + SUM(M17:M36)," ")," ")</f>
        <v xml:space="preserve"> </v>
      </c>
      <c r="P16" s="17">
        <v>11</v>
      </c>
      <c r="Q16" s="18"/>
      <c r="R16" s="67" t="str">
        <f ca="1">IFERROR(MATCH(INDIRECT("Q16"),'1.Locations'!B2:B32, 0) - 1," ")</f>
        <v xml:space="preserve"> </v>
      </c>
      <c r="S16" s="67" t="e">
        <f ca="1">IFERROR(IF(ISNUMBER(R16),INDEX('1.Locations'!D2:D32,R16 + 1),NA()),NA())</f>
        <v>#N/A</v>
      </c>
      <c r="T16" s="67" t="e">
        <f ca="1">IFERROR(IF(ISNUMBER(R16),INDEX('1.Locations'!E2:E32,R16 + 1),NA()),NA())</f>
        <v>#N/A</v>
      </c>
      <c r="U16" s="68" t="str">
        <f ca="1">IFERROR(IF(ISNUMBER(R16),INDEX('2.Distances'!C2:C962,R15*31+R16+ 1) +U15," ")," ")</f>
        <v xml:space="preserve"> </v>
      </c>
      <c r="V16" s="69" t="str">
        <f ca="1">IFERROR(IF(ISNUMBER(R16),INDEX('2.Distances'!D2:D962,R15*31+R16 + 1) +V15," ")," ")</f>
        <v xml:space="preserve"> </v>
      </c>
      <c r="W16" s="70" t="str">
        <f ca="1">IFERROR(IF(ISNUMBER(R16),INDEX('2.Distances'!D2:D962,R15*31+R16 + 1) +X15," ")," ")</f>
        <v xml:space="preserve"> </v>
      </c>
      <c r="X16" s="70" t="str">
        <f ca="1">IFERROR(IF(AND(R5&lt;&gt;R16,ISNUMBER(W16)),INDEX('1.Locations'!I2:I32,R16 + 1) + MAX(W16,INDEX('1.Locations'!F2:F32,R16 + 1))," ")," ")</f>
        <v xml:space="preserve"> </v>
      </c>
      <c r="Y16" s="69" t="str">
        <f ca="1">IFERROR(IF(R5 = R16, W16 - X5, X16 - X5)," ")</f>
        <v xml:space="preserve"> </v>
      </c>
      <c r="Z16" s="67" t="str">
        <f ca="1">IFERROR(IF(ISNUMBER(R16),INDEX('1.Locations'!L2:L32,R16 + 1) + Z15," ")," ")</f>
        <v xml:space="preserve"> </v>
      </c>
      <c r="AA16" s="67" t="str">
        <f ca="1">IFERROR(IF(ISNUMBER(R16),INDEX('1.Locations'!J2:J32,R16 + 1)," ")," ")</f>
        <v xml:space="preserve"> </v>
      </c>
      <c r="AB16" s="67" t="str">
        <f ca="1">IFERROR(IF(ISNUMBER(R16),INDEX('1.Locations'!K2:K32,R16 + 1)," ")," ")</f>
        <v xml:space="preserve"> </v>
      </c>
      <c r="AC16" s="67" t="str">
        <f ca="1">IFERROR(IF(ISNUMBER(R16),SUM(AA5:AA16) + SUM(AB17:AB36)," ")," ")</f>
        <v xml:space="preserve"> </v>
      </c>
      <c r="AE16" s="17">
        <v>11</v>
      </c>
      <c r="AF16" s="18"/>
      <c r="AG16" s="67" t="str">
        <f ca="1">IFERROR(MATCH(INDIRECT("AF16"),'1.Locations'!B2:B32, 0) - 1," ")</f>
        <v xml:space="preserve"> </v>
      </c>
      <c r="AH16" s="67" t="e">
        <f ca="1">IFERROR(IF(ISNUMBER(AG16),INDEX('1.Locations'!D2:D32,AG16 + 1),NA()),NA())</f>
        <v>#N/A</v>
      </c>
      <c r="AI16" s="67" t="e">
        <f ca="1">IFERROR(IF(ISNUMBER(AG16),INDEX('1.Locations'!E2:E32,AG16 + 1),NA()),NA())</f>
        <v>#N/A</v>
      </c>
      <c r="AJ16" s="68" t="str">
        <f ca="1">IFERROR(IF(ISNUMBER(AG16),INDEX('2.Distances'!C2:C962,AG15*31+AG16+ 1) +AJ15," ")," ")</f>
        <v xml:space="preserve"> </v>
      </c>
      <c r="AK16" s="69" t="str">
        <f ca="1">IFERROR(IF(ISNUMBER(AG16),INDEX('2.Distances'!D2:D962,AG15*31+AG16 + 1) +AK15," ")," ")</f>
        <v xml:space="preserve"> </v>
      </c>
      <c r="AL16" s="70" t="str">
        <f ca="1">IFERROR(IF(ISNUMBER(AG16),INDEX('2.Distances'!D2:D962,AG15*31+AG16 + 1) +AM15," ")," ")</f>
        <v xml:space="preserve"> </v>
      </c>
      <c r="AM16" s="70" t="str">
        <f ca="1">IFERROR(IF(AND(AG5&lt;&gt;AG16,ISNUMBER(AL16)),INDEX('1.Locations'!I2:I32,AG16 + 1) + MAX(AL16,INDEX('1.Locations'!F2:F32,AG16 + 1))," ")," ")</f>
        <v xml:space="preserve"> </v>
      </c>
      <c r="AN16" s="69" t="str">
        <f ca="1">IFERROR(IF(AG5 = AG16, AL16 - AM5, AM16 - AM5)," ")</f>
        <v xml:space="preserve"> </v>
      </c>
      <c r="AO16" s="67" t="str">
        <f ca="1">IFERROR(IF(ISNUMBER(AG16),INDEX('1.Locations'!L2:L32,AG16 + 1) + AO15," ")," ")</f>
        <v xml:space="preserve"> </v>
      </c>
      <c r="AP16" s="67" t="str">
        <f ca="1">IFERROR(IF(ISNUMBER(AG16),INDEX('1.Locations'!J2:J32,AG16 + 1)," ")," ")</f>
        <v xml:space="preserve"> </v>
      </c>
      <c r="AQ16" s="67" t="str">
        <f ca="1">IFERROR(IF(ISNUMBER(AG16),INDEX('1.Locations'!K2:K32,AG16 + 1)," ")," ")</f>
        <v xml:space="preserve"> </v>
      </c>
      <c r="AR16" s="67" t="str">
        <f ca="1">IFERROR(IF(ISNUMBER(AG16),SUM(AP5:AP16) + SUM(AQ17:AQ36)," ")," ")</f>
        <v xml:space="preserve"> </v>
      </c>
      <c r="AT16" s="17">
        <v>11</v>
      </c>
      <c r="AU16" s="18"/>
      <c r="AV16" s="67" t="str">
        <f ca="1">IFERROR(MATCH(INDIRECT("AU16"),'1.Locations'!B2:B32, 0) - 1," ")</f>
        <v xml:space="preserve"> </v>
      </c>
      <c r="AW16" s="67" t="e">
        <f ca="1">IFERROR(IF(ISNUMBER(AV16),INDEX('1.Locations'!D2:D32,AV16 + 1),NA()),NA())</f>
        <v>#N/A</v>
      </c>
      <c r="AX16" s="67" t="e">
        <f ca="1">IFERROR(IF(ISNUMBER(AV16),INDEX('1.Locations'!E2:E32,AV16 + 1),NA()),NA())</f>
        <v>#N/A</v>
      </c>
      <c r="AY16" s="68" t="str">
        <f ca="1">IFERROR(IF(ISNUMBER(AV16),INDEX('2.Distances'!C2:C962,AV15*31+AV16+ 1) +AY15," ")," ")</f>
        <v xml:space="preserve"> </v>
      </c>
      <c r="AZ16" s="69" t="str">
        <f ca="1">IFERROR(IF(ISNUMBER(AV16),INDEX('2.Distances'!D2:D962,AV15*31+AV16 + 1) +AZ15," ")," ")</f>
        <v xml:space="preserve"> </v>
      </c>
      <c r="BA16" s="70" t="str">
        <f ca="1">IFERROR(IF(ISNUMBER(AV16),INDEX('2.Distances'!D2:D962,AV15*31+AV16 + 1) +BB15," ")," ")</f>
        <v xml:space="preserve"> </v>
      </c>
      <c r="BB16" s="70" t="str">
        <f ca="1">IFERROR(IF(AND(AV5&lt;&gt;AV16,ISNUMBER(BA16)),INDEX('1.Locations'!I2:I32,AV16 + 1) + MAX(BA16,INDEX('1.Locations'!F2:F32,AV16 + 1))," ")," ")</f>
        <v xml:space="preserve"> </v>
      </c>
      <c r="BC16" s="69" t="str">
        <f ca="1">IFERROR(IF(AV5 = AV16, BA16 - BB5, BB16 - BB5)," ")</f>
        <v xml:space="preserve"> </v>
      </c>
      <c r="BD16" s="67" t="str">
        <f ca="1">IFERROR(IF(ISNUMBER(AV16),INDEX('1.Locations'!L2:L32,AV16 + 1) + BD15," ")," ")</f>
        <v xml:space="preserve"> </v>
      </c>
      <c r="BE16" s="67" t="str">
        <f ca="1">IFERROR(IF(ISNUMBER(AV16),INDEX('1.Locations'!J2:J32,AV16 + 1)," ")," ")</f>
        <v xml:space="preserve"> </v>
      </c>
      <c r="BF16" s="67" t="str">
        <f ca="1">IFERROR(IF(ISNUMBER(AV16),INDEX('1.Locations'!K2:K32,AV16 + 1)," ")," ")</f>
        <v xml:space="preserve"> </v>
      </c>
      <c r="BG16" s="67" t="str">
        <f ca="1">IFERROR(IF(ISNUMBER(AV16),SUM(BE5:BE16) + SUM(BF17:BF36)," ")," ")</f>
        <v xml:space="preserve"> </v>
      </c>
      <c r="BI16" s="17">
        <v>11</v>
      </c>
      <c r="BJ16" s="18"/>
      <c r="BK16" s="67" t="str">
        <f ca="1">IFERROR(MATCH(INDIRECT("BJ16"),'1.Locations'!B2:B32, 0) - 1," ")</f>
        <v xml:space="preserve"> </v>
      </c>
      <c r="BL16" s="67" t="e">
        <f ca="1">IFERROR(IF(ISNUMBER(BK16),INDEX('1.Locations'!D2:D32,BK16 + 1),NA()),NA())</f>
        <v>#N/A</v>
      </c>
      <c r="BM16" s="67" t="e">
        <f ca="1">IFERROR(IF(ISNUMBER(BK16),INDEX('1.Locations'!E2:E32,BK16 + 1),NA()),NA())</f>
        <v>#N/A</v>
      </c>
      <c r="BN16" s="68" t="str">
        <f ca="1">IFERROR(IF(ISNUMBER(BK16),INDEX('2.Distances'!C2:C962,BK15*31+BK16+ 1) +BN15," ")," ")</f>
        <v xml:space="preserve"> </v>
      </c>
      <c r="BO16" s="69" t="str">
        <f ca="1">IFERROR(IF(ISNUMBER(BK16),INDEX('2.Distances'!D2:D962,BK15*31+BK16 + 1) +BO15," ")," ")</f>
        <v xml:space="preserve"> </v>
      </c>
      <c r="BP16" s="70" t="str">
        <f ca="1">IFERROR(IF(ISNUMBER(BK16),INDEX('2.Distances'!D2:D962,BK15*31+BK16 + 1) +BQ15," ")," ")</f>
        <v xml:space="preserve"> </v>
      </c>
      <c r="BQ16" s="70" t="str">
        <f ca="1">IFERROR(IF(AND(BK5&lt;&gt;BK16,ISNUMBER(BP16)),INDEX('1.Locations'!I2:I32,BK16 + 1) + MAX(BP16,INDEX('1.Locations'!F2:F32,BK16 + 1))," ")," ")</f>
        <v xml:space="preserve"> </v>
      </c>
      <c r="BR16" s="69" t="str">
        <f ca="1">IFERROR(IF(BK5 = BK16, BP16 - BQ5, BQ16 - BQ5)," ")</f>
        <v xml:space="preserve"> </v>
      </c>
      <c r="BS16" s="67" t="str">
        <f ca="1">IFERROR(IF(ISNUMBER(BK16),INDEX('1.Locations'!L2:L32,BK16 + 1) + BS15," ")," ")</f>
        <v xml:space="preserve"> </v>
      </c>
      <c r="BT16" s="67" t="str">
        <f ca="1">IFERROR(IF(ISNUMBER(BK16),INDEX('1.Locations'!J2:J32,BK16 + 1)," ")," ")</f>
        <v xml:space="preserve"> </v>
      </c>
      <c r="BU16" s="67" t="str">
        <f ca="1">IFERROR(IF(ISNUMBER(BK16),INDEX('1.Locations'!K2:K32,BK16 + 1)," ")," ")</f>
        <v xml:space="preserve"> </v>
      </c>
      <c r="BV16" s="67" t="str">
        <f ca="1">IFERROR(IF(ISNUMBER(BK16),SUM(BT5:BT16) + SUM(BU17:BU36)," ")," ")</f>
        <v xml:space="preserve"> </v>
      </c>
      <c r="BX16" s="17">
        <v>11</v>
      </c>
      <c r="BY16" s="18"/>
      <c r="BZ16" s="67" t="str">
        <f ca="1">IFERROR(MATCH(INDIRECT("BY16"),'1.Locations'!B2:B32, 0) - 1," ")</f>
        <v xml:space="preserve"> </v>
      </c>
      <c r="CA16" s="67" t="e">
        <f ca="1">IFERROR(IF(ISNUMBER(BZ16),INDEX('1.Locations'!D2:D32,BZ16 + 1),NA()),NA())</f>
        <v>#N/A</v>
      </c>
      <c r="CB16" s="67" t="e">
        <f ca="1">IFERROR(IF(ISNUMBER(BZ16),INDEX('1.Locations'!E2:E32,BZ16 + 1),NA()),NA())</f>
        <v>#N/A</v>
      </c>
      <c r="CC16" s="68" t="str">
        <f ca="1">IFERROR(IF(ISNUMBER(BZ16),INDEX('2.Distances'!C2:C962,BZ15*31+BZ16+ 1) +CC15," ")," ")</f>
        <v xml:space="preserve"> </v>
      </c>
      <c r="CD16" s="69" t="str">
        <f ca="1">IFERROR(IF(ISNUMBER(BZ16),INDEX('2.Distances'!D2:D962,BZ15*31+BZ16 + 1) +CD15," ")," ")</f>
        <v xml:space="preserve"> </v>
      </c>
      <c r="CE16" s="70" t="str">
        <f ca="1">IFERROR(IF(ISNUMBER(BZ16),INDEX('2.Distances'!D2:D962,BZ15*31+BZ16 + 1) +CF15," ")," ")</f>
        <v xml:space="preserve"> </v>
      </c>
      <c r="CF16" s="70" t="str">
        <f ca="1">IFERROR(IF(AND(BZ5&lt;&gt;BZ16,ISNUMBER(CE16)),INDEX('1.Locations'!I2:I32,BZ16 + 1) + MAX(CE16,INDEX('1.Locations'!F2:F32,BZ16 + 1))," ")," ")</f>
        <v xml:space="preserve"> </v>
      </c>
      <c r="CG16" s="69" t="str">
        <f ca="1">IFERROR(IF(BZ5 = BZ16, CE16 - CF5, CF16 - CF5)," ")</f>
        <v xml:space="preserve"> </v>
      </c>
      <c r="CH16" s="67" t="str">
        <f ca="1">IFERROR(IF(ISNUMBER(BZ16),INDEX('1.Locations'!L2:L32,BZ16 + 1) + CH15," ")," ")</f>
        <v xml:space="preserve"> </v>
      </c>
      <c r="CI16" s="67" t="str">
        <f ca="1">IFERROR(IF(ISNUMBER(BZ16),INDEX('1.Locations'!J2:J32,BZ16 + 1)," ")," ")</f>
        <v xml:space="preserve"> </v>
      </c>
      <c r="CJ16" s="67" t="str">
        <f ca="1">IFERROR(IF(ISNUMBER(BZ16),INDEX('1.Locations'!K2:K32,BZ16 + 1)," ")," ")</f>
        <v xml:space="preserve"> </v>
      </c>
      <c r="CK16" s="67" t="str">
        <f ca="1">IFERROR(IF(ISNUMBER(BZ16),SUM(CI5:CI16) + SUM(CJ17:CJ36)," ")," ")</f>
        <v xml:space="preserve"> </v>
      </c>
      <c r="CM16" s="17">
        <v>11</v>
      </c>
      <c r="CN16" s="18"/>
      <c r="CO16" s="67" t="str">
        <f ca="1">IFERROR(MATCH(INDIRECT("CN16"),'1.Locations'!B2:B32, 0) - 1," ")</f>
        <v xml:space="preserve"> </v>
      </c>
      <c r="CP16" s="67" t="e">
        <f ca="1">IFERROR(IF(ISNUMBER(CO16),INDEX('1.Locations'!D2:D32,CO16 + 1),NA()),NA())</f>
        <v>#N/A</v>
      </c>
      <c r="CQ16" s="67" t="e">
        <f ca="1">IFERROR(IF(ISNUMBER(CO16),INDEX('1.Locations'!E2:E32,CO16 + 1),NA()),NA())</f>
        <v>#N/A</v>
      </c>
      <c r="CR16" s="68" t="str">
        <f ca="1">IFERROR(IF(ISNUMBER(CO16),INDEX('2.Distances'!C2:C962,CO15*31+CO16+ 1) +CR15," ")," ")</f>
        <v xml:space="preserve"> </v>
      </c>
      <c r="CS16" s="69" t="str">
        <f ca="1">IFERROR(IF(ISNUMBER(CO16),INDEX('2.Distances'!D2:D962,CO15*31+CO16 + 1) +CS15," ")," ")</f>
        <v xml:space="preserve"> </v>
      </c>
      <c r="CT16" s="70" t="str">
        <f ca="1">IFERROR(IF(ISNUMBER(CO16),INDEX('2.Distances'!D2:D962,CO15*31+CO16 + 1) +CU15," ")," ")</f>
        <v xml:space="preserve"> </v>
      </c>
      <c r="CU16" s="70" t="str">
        <f ca="1">IFERROR(IF(AND(CO5&lt;&gt;CO16,ISNUMBER(CT16)),INDEX('1.Locations'!I2:I32,CO16 + 1) + MAX(CT16,INDEX('1.Locations'!F2:F32,CO16 + 1))," ")," ")</f>
        <v xml:space="preserve"> </v>
      </c>
      <c r="CV16" s="69" t="str">
        <f ca="1">IFERROR(IF(CO5 = CO16, CT16 - CU5, CU16 - CU5)," ")</f>
        <v xml:space="preserve"> </v>
      </c>
      <c r="CW16" s="67" t="str">
        <f ca="1">IFERROR(IF(ISNUMBER(CO16),INDEX('1.Locations'!L2:L32,CO16 + 1) + CW15," ")," ")</f>
        <v xml:space="preserve"> </v>
      </c>
      <c r="CX16" s="67" t="str">
        <f ca="1">IFERROR(IF(ISNUMBER(CO16),INDEX('1.Locations'!J2:J32,CO16 + 1)," ")," ")</f>
        <v xml:space="preserve"> </v>
      </c>
      <c r="CY16" s="67" t="str">
        <f ca="1">IFERROR(IF(ISNUMBER(CO16),INDEX('1.Locations'!K2:K32,CO16 + 1)," ")," ")</f>
        <v xml:space="preserve"> </v>
      </c>
      <c r="CZ16" s="67" t="str">
        <f ca="1">IFERROR(IF(ISNUMBER(CO16),SUM(CX5:CX16) + SUM(CY17:CY36)," ")," ")</f>
        <v xml:space="preserve"> </v>
      </c>
      <c r="DB16" s="17">
        <v>11</v>
      </c>
      <c r="DC16" s="18"/>
      <c r="DD16" s="67" t="str">
        <f ca="1">IFERROR(MATCH(INDIRECT("DC16"),'1.Locations'!B2:B32, 0) - 1," ")</f>
        <v xml:space="preserve"> </v>
      </c>
      <c r="DE16" s="67" t="e">
        <f ca="1">IFERROR(IF(ISNUMBER(DD16),INDEX('1.Locations'!D2:D32,DD16 + 1),NA()),NA())</f>
        <v>#N/A</v>
      </c>
      <c r="DF16" s="67" t="e">
        <f ca="1">IFERROR(IF(ISNUMBER(DD16),INDEX('1.Locations'!E2:E32,DD16 + 1),NA()),NA())</f>
        <v>#N/A</v>
      </c>
      <c r="DG16" s="68" t="str">
        <f ca="1">IFERROR(IF(ISNUMBER(DD16),INDEX('2.Distances'!C2:C962,DD15*31+DD16+ 1) +DG15," ")," ")</f>
        <v xml:space="preserve"> </v>
      </c>
      <c r="DH16" s="69" t="str">
        <f ca="1">IFERROR(IF(ISNUMBER(DD16),INDEX('2.Distances'!D2:D962,DD15*31+DD16 + 1) +DH15," ")," ")</f>
        <v xml:space="preserve"> </v>
      </c>
      <c r="DI16" s="70" t="str">
        <f ca="1">IFERROR(IF(ISNUMBER(DD16),INDEX('2.Distances'!D2:D962,DD15*31+DD16 + 1) +DJ15," ")," ")</f>
        <v xml:space="preserve"> </v>
      </c>
      <c r="DJ16" s="70" t="str">
        <f ca="1">IFERROR(IF(AND(DD5&lt;&gt;DD16,ISNUMBER(DI16)),INDEX('1.Locations'!I2:I32,DD16 + 1) + MAX(DI16,INDEX('1.Locations'!F2:F32,DD16 + 1))," ")," ")</f>
        <v xml:space="preserve"> </v>
      </c>
      <c r="DK16" s="69" t="str">
        <f ca="1">IFERROR(IF(DD5 = DD16, DI16 - DJ5, DJ16 - DJ5)," ")</f>
        <v xml:space="preserve"> </v>
      </c>
      <c r="DL16" s="67" t="str">
        <f ca="1">IFERROR(IF(ISNUMBER(DD16),INDEX('1.Locations'!L2:L32,DD16 + 1) + DL15," ")," ")</f>
        <v xml:space="preserve"> </v>
      </c>
      <c r="DM16" s="67" t="str">
        <f ca="1">IFERROR(IF(ISNUMBER(DD16),INDEX('1.Locations'!J2:J32,DD16 + 1)," ")," ")</f>
        <v xml:space="preserve"> </v>
      </c>
      <c r="DN16" s="67" t="str">
        <f ca="1">IFERROR(IF(ISNUMBER(DD16),INDEX('1.Locations'!K2:K32,DD16 + 1)," ")," ")</f>
        <v xml:space="preserve"> </v>
      </c>
      <c r="DO16" s="67" t="str">
        <f ca="1">IFERROR(IF(ISNUMBER(DD16),SUM(DM5:DM16) + SUM(DN17:DN36)," ")," ")</f>
        <v xml:space="preserve"> </v>
      </c>
      <c r="DQ16" s="17">
        <v>11</v>
      </c>
      <c r="DR16" s="18"/>
      <c r="DS16" s="67" t="str">
        <f ca="1">IFERROR(MATCH(INDIRECT("DR16"),'1.Locations'!B2:B32, 0) - 1," ")</f>
        <v xml:space="preserve"> </v>
      </c>
      <c r="DT16" s="67" t="e">
        <f ca="1">IFERROR(IF(ISNUMBER(DS16),INDEX('1.Locations'!D2:D32,DS16 + 1),NA()),NA())</f>
        <v>#N/A</v>
      </c>
      <c r="DU16" s="67" t="e">
        <f ca="1">IFERROR(IF(ISNUMBER(DS16),INDEX('1.Locations'!E2:E32,DS16 + 1),NA()),NA())</f>
        <v>#N/A</v>
      </c>
      <c r="DV16" s="68" t="str">
        <f ca="1">IFERROR(IF(ISNUMBER(DS16),INDEX('2.Distances'!C2:C962,DS15*31+DS16+ 1) +DV15," ")," ")</f>
        <v xml:space="preserve"> </v>
      </c>
      <c r="DW16" s="69" t="str">
        <f ca="1">IFERROR(IF(ISNUMBER(DS16),INDEX('2.Distances'!D2:D962,DS15*31+DS16 + 1) +DW15," ")," ")</f>
        <v xml:space="preserve"> </v>
      </c>
      <c r="DX16" s="70" t="str">
        <f ca="1">IFERROR(IF(ISNUMBER(DS16),INDEX('2.Distances'!D2:D962,DS15*31+DS16 + 1) +DY15," ")," ")</f>
        <v xml:space="preserve"> </v>
      </c>
      <c r="DY16" s="70" t="str">
        <f ca="1">IFERROR(IF(AND(DS5&lt;&gt;DS16,ISNUMBER(DX16)),INDEX('1.Locations'!I2:I32,DS16 + 1) + MAX(DX16,INDEX('1.Locations'!F2:F32,DS16 + 1))," ")," ")</f>
        <v xml:space="preserve"> </v>
      </c>
      <c r="DZ16" s="69" t="str">
        <f ca="1">IFERROR(IF(DS5 = DS16, DX16 - DY5, DY16 - DY5)," ")</f>
        <v xml:space="preserve"> </v>
      </c>
      <c r="EA16" s="67" t="str">
        <f ca="1">IFERROR(IF(ISNUMBER(DS16),INDEX('1.Locations'!L2:L32,DS16 + 1) + EA15," ")," ")</f>
        <v xml:space="preserve"> </v>
      </c>
      <c r="EB16" s="67" t="str">
        <f ca="1">IFERROR(IF(ISNUMBER(DS16),INDEX('1.Locations'!J2:J32,DS16 + 1)," ")," ")</f>
        <v xml:space="preserve"> </v>
      </c>
      <c r="EC16" s="67" t="str">
        <f ca="1">IFERROR(IF(ISNUMBER(DS16),INDEX('1.Locations'!K2:K32,DS16 + 1)," ")," ")</f>
        <v xml:space="preserve"> </v>
      </c>
      <c r="ED16" s="67" t="str">
        <f ca="1">IFERROR(IF(ISNUMBER(DS16),SUM(EB5:EB16) + SUM(EC17:EC36)," ")," ")</f>
        <v xml:space="preserve"> </v>
      </c>
      <c r="EF16" s="17">
        <v>11</v>
      </c>
      <c r="EG16" s="18"/>
      <c r="EH16" s="67" t="str">
        <f ca="1">IFERROR(MATCH(INDIRECT("EG16"),'1.Locations'!B2:B32, 0) - 1," ")</f>
        <v xml:space="preserve"> </v>
      </c>
      <c r="EI16" s="67" t="e">
        <f ca="1">IFERROR(IF(ISNUMBER(EH16),INDEX('1.Locations'!D2:D32,EH16 + 1),NA()),NA())</f>
        <v>#N/A</v>
      </c>
      <c r="EJ16" s="67" t="e">
        <f ca="1">IFERROR(IF(ISNUMBER(EH16),INDEX('1.Locations'!E2:E32,EH16 + 1),NA()),NA())</f>
        <v>#N/A</v>
      </c>
      <c r="EK16" s="68" t="str">
        <f ca="1">IFERROR(IF(ISNUMBER(EH16),INDEX('2.Distances'!C2:C962,EH15*31+EH16+ 1) +EK15," ")," ")</f>
        <v xml:space="preserve"> </v>
      </c>
      <c r="EL16" s="69" t="str">
        <f ca="1">IFERROR(IF(ISNUMBER(EH16),INDEX('2.Distances'!D2:D962,EH15*31+EH16 + 1) +EL15," ")," ")</f>
        <v xml:space="preserve"> </v>
      </c>
      <c r="EM16" s="70" t="str">
        <f ca="1">IFERROR(IF(ISNUMBER(EH16),INDEX('2.Distances'!D2:D962,EH15*31+EH16 + 1) +EN15," ")," ")</f>
        <v xml:space="preserve"> </v>
      </c>
      <c r="EN16" s="70" t="str">
        <f ca="1">IFERROR(IF(AND(EH5&lt;&gt;EH16,ISNUMBER(EM16)),INDEX('1.Locations'!I2:I32,EH16 + 1) + MAX(EM16,INDEX('1.Locations'!F2:F32,EH16 + 1))," ")," ")</f>
        <v xml:space="preserve"> </v>
      </c>
      <c r="EO16" s="69" t="str">
        <f ca="1">IFERROR(IF(EH5 = EH16, EM16 - EN5, EN16 - EN5)," ")</f>
        <v xml:space="preserve"> </v>
      </c>
      <c r="EP16" s="67" t="str">
        <f ca="1">IFERROR(IF(ISNUMBER(EH16),INDEX('1.Locations'!L2:L32,EH16 + 1) + EP15," ")," ")</f>
        <v xml:space="preserve"> </v>
      </c>
      <c r="EQ16" s="67" t="str">
        <f ca="1">IFERROR(IF(ISNUMBER(EH16),INDEX('1.Locations'!J2:J32,EH16 + 1)," ")," ")</f>
        <v xml:space="preserve"> </v>
      </c>
      <c r="ER16" s="67" t="str">
        <f ca="1">IFERROR(IF(ISNUMBER(EH16),INDEX('1.Locations'!K2:K32,EH16 + 1)," ")," ")</f>
        <v xml:space="preserve"> </v>
      </c>
      <c r="ES16" s="67" t="str">
        <f ca="1">IFERROR(IF(ISNUMBER(EH16),SUM(EQ5:EQ16) + SUM(ER17:ER36)," ")," ")</f>
        <v xml:space="preserve"> </v>
      </c>
    </row>
    <row r="17" spans="1:149" x14ac:dyDescent="0.25">
      <c r="A17" s="17">
        <v>12</v>
      </c>
      <c r="B17" s="21"/>
      <c r="C17" s="67" t="str">
        <f ca="1">IFERROR(MATCH(INDIRECT("B17"),'1.Locations'!B2:B32, 0) - 1," ")</f>
        <v xml:space="preserve"> </v>
      </c>
      <c r="D17" s="67" t="e">
        <f ca="1">IFERROR(IF(ISNUMBER(C17),INDEX('1.Locations'!D2:D32,C17 + 1),NA()),NA())</f>
        <v>#N/A</v>
      </c>
      <c r="E17" s="67" t="e">
        <f ca="1">IFERROR(IF(ISNUMBER(C17),INDEX('1.Locations'!E2:E32,C17 + 1),NA()),NA())</f>
        <v>#N/A</v>
      </c>
      <c r="F17" s="68" t="str">
        <f ca="1">IFERROR(IF(ISNUMBER(C17),INDEX('2.Distances'!C2:C962,C16*31+C17+ 1) +F16," ")," ")</f>
        <v xml:space="preserve"> </v>
      </c>
      <c r="G17" s="69" t="str">
        <f ca="1">IFERROR(IF(ISNUMBER(C17),INDEX('2.Distances'!D2:D962,C16*31+C17 + 1) +G16," ")," ")</f>
        <v xml:space="preserve"> </v>
      </c>
      <c r="H17" s="70" t="str">
        <f ca="1">IFERROR(IF(ISNUMBER(C17),INDEX('2.Distances'!D2:D962,C16*31+C17 + 1) +I16," ")," ")</f>
        <v xml:space="preserve"> </v>
      </c>
      <c r="I17" s="70" t="str">
        <f ca="1">IFERROR(IF(AND(C5&lt;&gt;C17,ISNUMBER(H17)),INDEX('1.Locations'!I2:I32,C17 + 1) + MAX(H17,INDEX('1.Locations'!F2:F32,C17 + 1))," ")," ")</f>
        <v xml:space="preserve"> </v>
      </c>
      <c r="J17" s="69" t="str">
        <f ca="1">IFERROR(IF(C5 = C17, H17 - I5, I17 - I5)," ")</f>
        <v xml:space="preserve"> </v>
      </c>
      <c r="K17" s="67" t="str">
        <f ca="1">IFERROR(IF(ISNUMBER(C17),INDEX('1.Locations'!L2:L32,C17 + 1) + K16," ")," ")</f>
        <v xml:space="preserve"> </v>
      </c>
      <c r="L17" s="67" t="str">
        <f ca="1">IFERROR(IF(ISNUMBER(C17),INDEX('1.Locations'!J2:J32,C17 + 1)," ")," ")</f>
        <v xml:space="preserve"> </v>
      </c>
      <c r="M17" s="67" t="str">
        <f ca="1">IFERROR(IF(ISNUMBER(C17),INDEX('1.Locations'!K2:K32,C17 + 1)," ")," ")</f>
        <v xml:space="preserve"> </v>
      </c>
      <c r="N17" s="67" t="str">
        <f ca="1">IFERROR(IF(ISNUMBER(C17),SUM(L5:L17) + SUM(M18:M36)," ")," ")</f>
        <v xml:space="preserve"> </v>
      </c>
      <c r="P17" s="17">
        <v>12</v>
      </c>
      <c r="Q17" s="21"/>
      <c r="R17" s="67" t="str">
        <f ca="1">IFERROR(MATCH(INDIRECT("Q17"),'1.Locations'!B2:B32, 0) - 1," ")</f>
        <v xml:space="preserve"> </v>
      </c>
      <c r="S17" s="67" t="e">
        <f ca="1">IFERROR(IF(ISNUMBER(R17),INDEX('1.Locations'!D2:D32,R17 + 1),NA()),NA())</f>
        <v>#N/A</v>
      </c>
      <c r="T17" s="67" t="e">
        <f ca="1">IFERROR(IF(ISNUMBER(R17),INDEX('1.Locations'!E2:E32,R17 + 1),NA()),NA())</f>
        <v>#N/A</v>
      </c>
      <c r="U17" s="68" t="str">
        <f ca="1">IFERROR(IF(ISNUMBER(R17),INDEX('2.Distances'!C2:C962,R16*31+R17+ 1) +U16," ")," ")</f>
        <v xml:space="preserve"> </v>
      </c>
      <c r="V17" s="69" t="str">
        <f ca="1">IFERROR(IF(ISNUMBER(R17),INDEX('2.Distances'!D2:D962,R16*31+R17 + 1) +V16," ")," ")</f>
        <v xml:space="preserve"> </v>
      </c>
      <c r="W17" s="70" t="str">
        <f ca="1">IFERROR(IF(ISNUMBER(R17),INDEX('2.Distances'!D2:D962,R16*31+R17 + 1) +X16," ")," ")</f>
        <v xml:space="preserve"> </v>
      </c>
      <c r="X17" s="70" t="str">
        <f ca="1">IFERROR(IF(AND(R5&lt;&gt;R17,ISNUMBER(W17)),INDEX('1.Locations'!I2:I32,R17 + 1) + MAX(W17,INDEX('1.Locations'!F2:F32,R17 + 1))," ")," ")</f>
        <v xml:space="preserve"> </v>
      </c>
      <c r="Y17" s="69" t="str">
        <f ca="1">IFERROR(IF(R5 = R17, W17 - X5, X17 - X5)," ")</f>
        <v xml:space="preserve"> </v>
      </c>
      <c r="Z17" s="67" t="str">
        <f ca="1">IFERROR(IF(ISNUMBER(R17),INDEX('1.Locations'!L2:L32,R17 + 1) + Z16," ")," ")</f>
        <v xml:space="preserve"> </v>
      </c>
      <c r="AA17" s="67" t="str">
        <f ca="1">IFERROR(IF(ISNUMBER(R17),INDEX('1.Locations'!J2:J32,R17 + 1)," ")," ")</f>
        <v xml:space="preserve"> </v>
      </c>
      <c r="AB17" s="67" t="str">
        <f ca="1">IFERROR(IF(ISNUMBER(R17),INDEX('1.Locations'!K2:K32,R17 + 1)," ")," ")</f>
        <v xml:space="preserve"> </v>
      </c>
      <c r="AC17" s="67" t="str">
        <f ca="1">IFERROR(IF(ISNUMBER(R17),SUM(AA5:AA17) + SUM(AB18:AB36)," ")," ")</f>
        <v xml:space="preserve"> </v>
      </c>
      <c r="AE17" s="17">
        <v>12</v>
      </c>
      <c r="AF17" s="21"/>
      <c r="AG17" s="67" t="str">
        <f ca="1">IFERROR(MATCH(INDIRECT("AF17"),'1.Locations'!B2:B32, 0) - 1," ")</f>
        <v xml:space="preserve"> </v>
      </c>
      <c r="AH17" s="67" t="e">
        <f ca="1">IFERROR(IF(ISNUMBER(AG17),INDEX('1.Locations'!D2:D32,AG17 + 1),NA()),NA())</f>
        <v>#N/A</v>
      </c>
      <c r="AI17" s="67" t="e">
        <f ca="1">IFERROR(IF(ISNUMBER(AG17),INDEX('1.Locations'!E2:E32,AG17 + 1),NA()),NA())</f>
        <v>#N/A</v>
      </c>
      <c r="AJ17" s="68" t="str">
        <f ca="1">IFERROR(IF(ISNUMBER(AG17),INDEX('2.Distances'!C2:C962,AG16*31+AG17+ 1) +AJ16," ")," ")</f>
        <v xml:space="preserve"> </v>
      </c>
      <c r="AK17" s="69" t="str">
        <f ca="1">IFERROR(IF(ISNUMBER(AG17),INDEX('2.Distances'!D2:D962,AG16*31+AG17 + 1) +AK16," ")," ")</f>
        <v xml:space="preserve"> </v>
      </c>
      <c r="AL17" s="70" t="str">
        <f ca="1">IFERROR(IF(ISNUMBER(AG17),INDEX('2.Distances'!D2:D962,AG16*31+AG17 + 1) +AM16," ")," ")</f>
        <v xml:space="preserve"> </v>
      </c>
      <c r="AM17" s="70" t="str">
        <f ca="1">IFERROR(IF(AND(AG5&lt;&gt;AG17,ISNUMBER(AL17)),INDEX('1.Locations'!I2:I32,AG17 + 1) + MAX(AL17,INDEX('1.Locations'!F2:F32,AG17 + 1))," ")," ")</f>
        <v xml:space="preserve"> </v>
      </c>
      <c r="AN17" s="69" t="str">
        <f ca="1">IFERROR(IF(AG5 = AG17, AL17 - AM5, AM17 - AM5)," ")</f>
        <v xml:space="preserve"> </v>
      </c>
      <c r="AO17" s="67" t="str">
        <f ca="1">IFERROR(IF(ISNUMBER(AG17),INDEX('1.Locations'!L2:L32,AG17 + 1) + AO16," ")," ")</f>
        <v xml:space="preserve"> </v>
      </c>
      <c r="AP17" s="67" t="str">
        <f ca="1">IFERROR(IF(ISNUMBER(AG17),INDEX('1.Locations'!J2:J32,AG17 + 1)," ")," ")</f>
        <v xml:space="preserve"> </v>
      </c>
      <c r="AQ17" s="67" t="str">
        <f ca="1">IFERROR(IF(ISNUMBER(AG17),INDEX('1.Locations'!K2:K32,AG17 + 1)," ")," ")</f>
        <v xml:space="preserve"> </v>
      </c>
      <c r="AR17" s="67" t="str">
        <f ca="1">IFERROR(IF(ISNUMBER(AG17),SUM(AP5:AP17) + SUM(AQ18:AQ36)," ")," ")</f>
        <v xml:space="preserve"> </v>
      </c>
      <c r="AT17" s="17">
        <v>12</v>
      </c>
      <c r="AU17" s="21"/>
      <c r="AV17" s="67" t="str">
        <f ca="1">IFERROR(MATCH(INDIRECT("AU17"),'1.Locations'!B2:B32, 0) - 1," ")</f>
        <v xml:space="preserve"> </v>
      </c>
      <c r="AW17" s="67" t="e">
        <f ca="1">IFERROR(IF(ISNUMBER(AV17),INDEX('1.Locations'!D2:D32,AV17 + 1),NA()),NA())</f>
        <v>#N/A</v>
      </c>
      <c r="AX17" s="67" t="e">
        <f ca="1">IFERROR(IF(ISNUMBER(AV17),INDEX('1.Locations'!E2:E32,AV17 + 1),NA()),NA())</f>
        <v>#N/A</v>
      </c>
      <c r="AY17" s="68" t="str">
        <f ca="1">IFERROR(IF(ISNUMBER(AV17),INDEX('2.Distances'!C2:C962,AV16*31+AV17+ 1) +AY16," ")," ")</f>
        <v xml:space="preserve"> </v>
      </c>
      <c r="AZ17" s="69" t="str">
        <f ca="1">IFERROR(IF(ISNUMBER(AV17),INDEX('2.Distances'!D2:D962,AV16*31+AV17 + 1) +AZ16," ")," ")</f>
        <v xml:space="preserve"> </v>
      </c>
      <c r="BA17" s="70" t="str">
        <f ca="1">IFERROR(IF(ISNUMBER(AV17),INDEX('2.Distances'!D2:D962,AV16*31+AV17 + 1) +BB16," ")," ")</f>
        <v xml:space="preserve"> </v>
      </c>
      <c r="BB17" s="70" t="str">
        <f ca="1">IFERROR(IF(AND(AV5&lt;&gt;AV17,ISNUMBER(BA17)),INDEX('1.Locations'!I2:I32,AV17 + 1) + MAX(BA17,INDEX('1.Locations'!F2:F32,AV17 + 1))," ")," ")</f>
        <v xml:space="preserve"> </v>
      </c>
      <c r="BC17" s="69" t="str">
        <f ca="1">IFERROR(IF(AV5 = AV17, BA17 - BB5, BB17 - BB5)," ")</f>
        <v xml:space="preserve"> </v>
      </c>
      <c r="BD17" s="67" t="str">
        <f ca="1">IFERROR(IF(ISNUMBER(AV17),INDEX('1.Locations'!L2:L32,AV17 + 1) + BD16," ")," ")</f>
        <v xml:space="preserve"> </v>
      </c>
      <c r="BE17" s="67" t="str">
        <f ca="1">IFERROR(IF(ISNUMBER(AV17),INDEX('1.Locations'!J2:J32,AV17 + 1)," ")," ")</f>
        <v xml:space="preserve"> </v>
      </c>
      <c r="BF17" s="67" t="str">
        <f ca="1">IFERROR(IF(ISNUMBER(AV17),INDEX('1.Locations'!K2:K32,AV17 + 1)," ")," ")</f>
        <v xml:space="preserve"> </v>
      </c>
      <c r="BG17" s="67" t="str">
        <f ca="1">IFERROR(IF(ISNUMBER(AV17),SUM(BE5:BE17) + SUM(BF18:BF36)," ")," ")</f>
        <v xml:space="preserve"> </v>
      </c>
      <c r="BI17" s="17">
        <v>12</v>
      </c>
      <c r="BJ17" s="21"/>
      <c r="BK17" s="67" t="str">
        <f ca="1">IFERROR(MATCH(INDIRECT("BJ17"),'1.Locations'!B2:B32, 0) - 1," ")</f>
        <v xml:space="preserve"> </v>
      </c>
      <c r="BL17" s="67" t="e">
        <f ca="1">IFERROR(IF(ISNUMBER(BK17),INDEX('1.Locations'!D2:D32,BK17 + 1),NA()),NA())</f>
        <v>#N/A</v>
      </c>
      <c r="BM17" s="67" t="e">
        <f ca="1">IFERROR(IF(ISNUMBER(BK17),INDEX('1.Locations'!E2:E32,BK17 + 1),NA()),NA())</f>
        <v>#N/A</v>
      </c>
      <c r="BN17" s="68" t="str">
        <f ca="1">IFERROR(IF(ISNUMBER(BK17),INDEX('2.Distances'!C2:C962,BK16*31+BK17+ 1) +BN16," ")," ")</f>
        <v xml:space="preserve"> </v>
      </c>
      <c r="BO17" s="69" t="str">
        <f ca="1">IFERROR(IF(ISNUMBER(BK17),INDEX('2.Distances'!D2:D962,BK16*31+BK17 + 1) +BO16," ")," ")</f>
        <v xml:space="preserve"> </v>
      </c>
      <c r="BP17" s="70" t="str">
        <f ca="1">IFERROR(IF(ISNUMBER(BK17),INDEX('2.Distances'!D2:D962,BK16*31+BK17 + 1) +BQ16," ")," ")</f>
        <v xml:space="preserve"> </v>
      </c>
      <c r="BQ17" s="70" t="str">
        <f ca="1">IFERROR(IF(AND(BK5&lt;&gt;BK17,ISNUMBER(BP17)),INDEX('1.Locations'!I2:I32,BK17 + 1) + MAX(BP17,INDEX('1.Locations'!F2:F32,BK17 + 1))," ")," ")</f>
        <v xml:space="preserve"> </v>
      </c>
      <c r="BR17" s="69" t="str">
        <f ca="1">IFERROR(IF(BK5 = BK17, BP17 - BQ5, BQ17 - BQ5)," ")</f>
        <v xml:space="preserve"> </v>
      </c>
      <c r="BS17" s="67" t="str">
        <f ca="1">IFERROR(IF(ISNUMBER(BK17),INDEX('1.Locations'!L2:L32,BK17 + 1) + BS16," ")," ")</f>
        <v xml:space="preserve"> </v>
      </c>
      <c r="BT17" s="67" t="str">
        <f ca="1">IFERROR(IF(ISNUMBER(BK17),INDEX('1.Locations'!J2:J32,BK17 + 1)," ")," ")</f>
        <v xml:space="preserve"> </v>
      </c>
      <c r="BU17" s="67" t="str">
        <f ca="1">IFERROR(IF(ISNUMBER(BK17),INDEX('1.Locations'!K2:K32,BK17 + 1)," ")," ")</f>
        <v xml:space="preserve"> </v>
      </c>
      <c r="BV17" s="67" t="str">
        <f ca="1">IFERROR(IF(ISNUMBER(BK17),SUM(BT5:BT17) + SUM(BU18:BU36)," ")," ")</f>
        <v xml:space="preserve"> </v>
      </c>
      <c r="BX17" s="17">
        <v>12</v>
      </c>
      <c r="BY17" s="21"/>
      <c r="BZ17" s="67" t="str">
        <f ca="1">IFERROR(MATCH(INDIRECT("BY17"),'1.Locations'!B2:B32, 0) - 1," ")</f>
        <v xml:space="preserve"> </v>
      </c>
      <c r="CA17" s="67" t="e">
        <f ca="1">IFERROR(IF(ISNUMBER(BZ17),INDEX('1.Locations'!D2:D32,BZ17 + 1),NA()),NA())</f>
        <v>#N/A</v>
      </c>
      <c r="CB17" s="67" t="e">
        <f ca="1">IFERROR(IF(ISNUMBER(BZ17),INDEX('1.Locations'!E2:E32,BZ17 + 1),NA()),NA())</f>
        <v>#N/A</v>
      </c>
      <c r="CC17" s="68" t="str">
        <f ca="1">IFERROR(IF(ISNUMBER(BZ17),INDEX('2.Distances'!C2:C962,BZ16*31+BZ17+ 1) +CC16," ")," ")</f>
        <v xml:space="preserve"> </v>
      </c>
      <c r="CD17" s="69" t="str">
        <f ca="1">IFERROR(IF(ISNUMBER(BZ17),INDEX('2.Distances'!D2:D962,BZ16*31+BZ17 + 1) +CD16," ")," ")</f>
        <v xml:space="preserve"> </v>
      </c>
      <c r="CE17" s="70" t="str">
        <f ca="1">IFERROR(IF(ISNUMBER(BZ17),INDEX('2.Distances'!D2:D962,BZ16*31+BZ17 + 1) +CF16," ")," ")</f>
        <v xml:space="preserve"> </v>
      </c>
      <c r="CF17" s="70" t="str">
        <f ca="1">IFERROR(IF(AND(BZ5&lt;&gt;BZ17,ISNUMBER(CE17)),INDEX('1.Locations'!I2:I32,BZ17 + 1) + MAX(CE17,INDEX('1.Locations'!F2:F32,BZ17 + 1))," ")," ")</f>
        <v xml:space="preserve"> </v>
      </c>
      <c r="CG17" s="69" t="str">
        <f ca="1">IFERROR(IF(BZ5 = BZ17, CE17 - CF5, CF17 - CF5)," ")</f>
        <v xml:space="preserve"> </v>
      </c>
      <c r="CH17" s="67" t="str">
        <f ca="1">IFERROR(IF(ISNUMBER(BZ17),INDEX('1.Locations'!L2:L32,BZ17 + 1) + CH16," ")," ")</f>
        <v xml:space="preserve"> </v>
      </c>
      <c r="CI17" s="67" t="str">
        <f ca="1">IFERROR(IF(ISNUMBER(BZ17),INDEX('1.Locations'!J2:J32,BZ17 + 1)," ")," ")</f>
        <v xml:space="preserve"> </v>
      </c>
      <c r="CJ17" s="67" t="str">
        <f ca="1">IFERROR(IF(ISNUMBER(BZ17),INDEX('1.Locations'!K2:K32,BZ17 + 1)," ")," ")</f>
        <v xml:space="preserve"> </v>
      </c>
      <c r="CK17" s="67" t="str">
        <f ca="1">IFERROR(IF(ISNUMBER(BZ17),SUM(CI5:CI17) + SUM(CJ18:CJ36)," ")," ")</f>
        <v xml:space="preserve"> </v>
      </c>
      <c r="CM17" s="17">
        <v>12</v>
      </c>
      <c r="CN17" s="21"/>
      <c r="CO17" s="67" t="str">
        <f ca="1">IFERROR(MATCH(INDIRECT("CN17"),'1.Locations'!B2:B32, 0) - 1," ")</f>
        <v xml:space="preserve"> </v>
      </c>
      <c r="CP17" s="67" t="e">
        <f ca="1">IFERROR(IF(ISNUMBER(CO17),INDEX('1.Locations'!D2:D32,CO17 + 1),NA()),NA())</f>
        <v>#N/A</v>
      </c>
      <c r="CQ17" s="67" t="e">
        <f ca="1">IFERROR(IF(ISNUMBER(CO17),INDEX('1.Locations'!E2:E32,CO17 + 1),NA()),NA())</f>
        <v>#N/A</v>
      </c>
      <c r="CR17" s="68" t="str">
        <f ca="1">IFERROR(IF(ISNUMBER(CO17),INDEX('2.Distances'!C2:C962,CO16*31+CO17+ 1) +CR16," ")," ")</f>
        <v xml:space="preserve"> </v>
      </c>
      <c r="CS17" s="69" t="str">
        <f ca="1">IFERROR(IF(ISNUMBER(CO17),INDEX('2.Distances'!D2:D962,CO16*31+CO17 + 1) +CS16," ")," ")</f>
        <v xml:space="preserve"> </v>
      </c>
      <c r="CT17" s="70" t="str">
        <f ca="1">IFERROR(IF(ISNUMBER(CO17),INDEX('2.Distances'!D2:D962,CO16*31+CO17 + 1) +CU16," ")," ")</f>
        <v xml:space="preserve"> </v>
      </c>
      <c r="CU17" s="70" t="str">
        <f ca="1">IFERROR(IF(AND(CO5&lt;&gt;CO17,ISNUMBER(CT17)),INDEX('1.Locations'!I2:I32,CO17 + 1) + MAX(CT17,INDEX('1.Locations'!F2:F32,CO17 + 1))," ")," ")</f>
        <v xml:space="preserve"> </v>
      </c>
      <c r="CV17" s="69" t="str">
        <f ca="1">IFERROR(IF(CO5 = CO17, CT17 - CU5, CU17 - CU5)," ")</f>
        <v xml:space="preserve"> </v>
      </c>
      <c r="CW17" s="67" t="str">
        <f ca="1">IFERROR(IF(ISNUMBER(CO17),INDEX('1.Locations'!L2:L32,CO17 + 1) + CW16," ")," ")</f>
        <v xml:space="preserve"> </v>
      </c>
      <c r="CX17" s="67" t="str">
        <f ca="1">IFERROR(IF(ISNUMBER(CO17),INDEX('1.Locations'!J2:J32,CO17 + 1)," ")," ")</f>
        <v xml:space="preserve"> </v>
      </c>
      <c r="CY17" s="67" t="str">
        <f ca="1">IFERROR(IF(ISNUMBER(CO17),INDEX('1.Locations'!K2:K32,CO17 + 1)," ")," ")</f>
        <v xml:space="preserve"> </v>
      </c>
      <c r="CZ17" s="67" t="str">
        <f ca="1">IFERROR(IF(ISNUMBER(CO17),SUM(CX5:CX17) + SUM(CY18:CY36)," ")," ")</f>
        <v xml:space="preserve"> </v>
      </c>
      <c r="DB17" s="17">
        <v>12</v>
      </c>
      <c r="DC17" s="21"/>
      <c r="DD17" s="67" t="str">
        <f ca="1">IFERROR(MATCH(INDIRECT("DC17"),'1.Locations'!B2:B32, 0) - 1," ")</f>
        <v xml:space="preserve"> </v>
      </c>
      <c r="DE17" s="67" t="e">
        <f ca="1">IFERROR(IF(ISNUMBER(DD17),INDEX('1.Locations'!D2:D32,DD17 + 1),NA()),NA())</f>
        <v>#N/A</v>
      </c>
      <c r="DF17" s="67" t="e">
        <f ca="1">IFERROR(IF(ISNUMBER(DD17),INDEX('1.Locations'!E2:E32,DD17 + 1),NA()),NA())</f>
        <v>#N/A</v>
      </c>
      <c r="DG17" s="68" t="str">
        <f ca="1">IFERROR(IF(ISNUMBER(DD17),INDEX('2.Distances'!C2:C962,DD16*31+DD17+ 1) +DG16," ")," ")</f>
        <v xml:space="preserve"> </v>
      </c>
      <c r="DH17" s="69" t="str">
        <f ca="1">IFERROR(IF(ISNUMBER(DD17),INDEX('2.Distances'!D2:D962,DD16*31+DD17 + 1) +DH16," ")," ")</f>
        <v xml:space="preserve"> </v>
      </c>
      <c r="DI17" s="70" t="str">
        <f ca="1">IFERROR(IF(ISNUMBER(DD17),INDEX('2.Distances'!D2:D962,DD16*31+DD17 + 1) +DJ16," ")," ")</f>
        <v xml:space="preserve"> </v>
      </c>
      <c r="DJ17" s="70" t="str">
        <f ca="1">IFERROR(IF(AND(DD5&lt;&gt;DD17,ISNUMBER(DI17)),INDEX('1.Locations'!I2:I32,DD17 + 1) + MAX(DI17,INDEX('1.Locations'!F2:F32,DD17 + 1))," ")," ")</f>
        <v xml:space="preserve"> </v>
      </c>
      <c r="DK17" s="69" t="str">
        <f ca="1">IFERROR(IF(DD5 = DD17, DI17 - DJ5, DJ17 - DJ5)," ")</f>
        <v xml:space="preserve"> </v>
      </c>
      <c r="DL17" s="67" t="str">
        <f ca="1">IFERROR(IF(ISNUMBER(DD17),INDEX('1.Locations'!L2:L32,DD17 + 1) + DL16," ")," ")</f>
        <v xml:space="preserve"> </v>
      </c>
      <c r="DM17" s="67" t="str">
        <f ca="1">IFERROR(IF(ISNUMBER(DD17),INDEX('1.Locations'!J2:J32,DD17 + 1)," ")," ")</f>
        <v xml:space="preserve"> </v>
      </c>
      <c r="DN17" s="67" t="str">
        <f ca="1">IFERROR(IF(ISNUMBER(DD17),INDEX('1.Locations'!K2:K32,DD17 + 1)," ")," ")</f>
        <v xml:space="preserve"> </v>
      </c>
      <c r="DO17" s="67" t="str">
        <f ca="1">IFERROR(IF(ISNUMBER(DD17),SUM(DM5:DM17) + SUM(DN18:DN36)," ")," ")</f>
        <v xml:space="preserve"> </v>
      </c>
      <c r="DQ17" s="17">
        <v>12</v>
      </c>
      <c r="DR17" s="21"/>
      <c r="DS17" s="67" t="str">
        <f ca="1">IFERROR(MATCH(INDIRECT("DR17"),'1.Locations'!B2:B32, 0) - 1," ")</f>
        <v xml:space="preserve"> </v>
      </c>
      <c r="DT17" s="67" t="e">
        <f ca="1">IFERROR(IF(ISNUMBER(DS17),INDEX('1.Locations'!D2:D32,DS17 + 1),NA()),NA())</f>
        <v>#N/A</v>
      </c>
      <c r="DU17" s="67" t="e">
        <f ca="1">IFERROR(IF(ISNUMBER(DS17),INDEX('1.Locations'!E2:E32,DS17 + 1),NA()),NA())</f>
        <v>#N/A</v>
      </c>
      <c r="DV17" s="68" t="str">
        <f ca="1">IFERROR(IF(ISNUMBER(DS17),INDEX('2.Distances'!C2:C962,DS16*31+DS17+ 1) +DV16," ")," ")</f>
        <v xml:space="preserve"> </v>
      </c>
      <c r="DW17" s="69" t="str">
        <f ca="1">IFERROR(IF(ISNUMBER(DS17),INDEX('2.Distances'!D2:D962,DS16*31+DS17 + 1) +DW16," ")," ")</f>
        <v xml:space="preserve"> </v>
      </c>
      <c r="DX17" s="70" t="str">
        <f ca="1">IFERROR(IF(ISNUMBER(DS17),INDEX('2.Distances'!D2:D962,DS16*31+DS17 + 1) +DY16," ")," ")</f>
        <v xml:space="preserve"> </v>
      </c>
      <c r="DY17" s="70" t="str">
        <f ca="1">IFERROR(IF(AND(DS5&lt;&gt;DS17,ISNUMBER(DX17)),INDEX('1.Locations'!I2:I32,DS17 + 1) + MAX(DX17,INDEX('1.Locations'!F2:F32,DS17 + 1))," ")," ")</f>
        <v xml:space="preserve"> </v>
      </c>
      <c r="DZ17" s="69" t="str">
        <f ca="1">IFERROR(IF(DS5 = DS17, DX17 - DY5, DY17 - DY5)," ")</f>
        <v xml:space="preserve"> </v>
      </c>
      <c r="EA17" s="67" t="str">
        <f ca="1">IFERROR(IF(ISNUMBER(DS17),INDEX('1.Locations'!L2:L32,DS17 + 1) + EA16," ")," ")</f>
        <v xml:space="preserve"> </v>
      </c>
      <c r="EB17" s="67" t="str">
        <f ca="1">IFERROR(IF(ISNUMBER(DS17),INDEX('1.Locations'!J2:J32,DS17 + 1)," ")," ")</f>
        <v xml:space="preserve"> </v>
      </c>
      <c r="EC17" s="67" t="str">
        <f ca="1">IFERROR(IF(ISNUMBER(DS17),INDEX('1.Locations'!K2:K32,DS17 + 1)," ")," ")</f>
        <v xml:space="preserve"> </v>
      </c>
      <c r="ED17" s="67" t="str">
        <f ca="1">IFERROR(IF(ISNUMBER(DS17),SUM(EB5:EB17) + SUM(EC18:EC36)," ")," ")</f>
        <v xml:space="preserve"> </v>
      </c>
      <c r="EF17" s="17">
        <v>12</v>
      </c>
      <c r="EG17" s="21"/>
      <c r="EH17" s="67" t="str">
        <f ca="1">IFERROR(MATCH(INDIRECT("EG17"),'1.Locations'!B2:B32, 0) - 1," ")</f>
        <v xml:space="preserve"> </v>
      </c>
      <c r="EI17" s="67" t="e">
        <f ca="1">IFERROR(IF(ISNUMBER(EH17),INDEX('1.Locations'!D2:D32,EH17 + 1),NA()),NA())</f>
        <v>#N/A</v>
      </c>
      <c r="EJ17" s="67" t="e">
        <f ca="1">IFERROR(IF(ISNUMBER(EH17),INDEX('1.Locations'!E2:E32,EH17 + 1),NA()),NA())</f>
        <v>#N/A</v>
      </c>
      <c r="EK17" s="68" t="str">
        <f ca="1">IFERROR(IF(ISNUMBER(EH17),INDEX('2.Distances'!C2:C962,EH16*31+EH17+ 1) +EK16," ")," ")</f>
        <v xml:space="preserve"> </v>
      </c>
      <c r="EL17" s="69" t="str">
        <f ca="1">IFERROR(IF(ISNUMBER(EH17),INDEX('2.Distances'!D2:D962,EH16*31+EH17 + 1) +EL16," ")," ")</f>
        <v xml:space="preserve"> </v>
      </c>
      <c r="EM17" s="70" t="str">
        <f ca="1">IFERROR(IF(ISNUMBER(EH17),INDEX('2.Distances'!D2:D962,EH16*31+EH17 + 1) +EN16," ")," ")</f>
        <v xml:space="preserve"> </v>
      </c>
      <c r="EN17" s="70" t="str">
        <f ca="1">IFERROR(IF(AND(EH5&lt;&gt;EH17,ISNUMBER(EM17)),INDEX('1.Locations'!I2:I32,EH17 + 1) + MAX(EM17,INDEX('1.Locations'!F2:F32,EH17 + 1))," ")," ")</f>
        <v xml:space="preserve"> </v>
      </c>
      <c r="EO17" s="69" t="str">
        <f ca="1">IFERROR(IF(EH5 = EH17, EM17 - EN5, EN17 - EN5)," ")</f>
        <v xml:space="preserve"> </v>
      </c>
      <c r="EP17" s="67" t="str">
        <f ca="1">IFERROR(IF(ISNUMBER(EH17),INDEX('1.Locations'!L2:L32,EH17 + 1) + EP16," ")," ")</f>
        <v xml:space="preserve"> </v>
      </c>
      <c r="EQ17" s="67" t="str">
        <f ca="1">IFERROR(IF(ISNUMBER(EH17),INDEX('1.Locations'!J2:J32,EH17 + 1)," ")," ")</f>
        <v xml:space="preserve"> </v>
      </c>
      <c r="ER17" s="67" t="str">
        <f ca="1">IFERROR(IF(ISNUMBER(EH17),INDEX('1.Locations'!K2:K32,EH17 + 1)," ")," ")</f>
        <v xml:space="preserve"> </v>
      </c>
      <c r="ES17" s="67" t="str">
        <f ca="1">IFERROR(IF(ISNUMBER(EH17),SUM(EQ5:EQ17) + SUM(ER18:ER36)," ")," ")</f>
        <v xml:space="preserve"> </v>
      </c>
    </row>
    <row r="18" spans="1:149" x14ac:dyDescent="0.25">
      <c r="A18" s="17">
        <v>13</v>
      </c>
      <c r="B18" s="18"/>
      <c r="C18" s="67" t="str">
        <f ca="1">IFERROR(MATCH(INDIRECT("B18"),'1.Locations'!B2:B32, 0) - 1," ")</f>
        <v xml:space="preserve"> </v>
      </c>
      <c r="D18" s="67" t="e">
        <f ca="1">IFERROR(IF(ISNUMBER(C18),INDEX('1.Locations'!D2:D32,C18 + 1),NA()),NA())</f>
        <v>#N/A</v>
      </c>
      <c r="E18" s="67" t="e">
        <f ca="1">IFERROR(IF(ISNUMBER(C18),INDEX('1.Locations'!E2:E32,C18 + 1),NA()),NA())</f>
        <v>#N/A</v>
      </c>
      <c r="F18" s="68" t="str">
        <f ca="1">IFERROR(IF(ISNUMBER(C18),INDEX('2.Distances'!C2:C962,C17*31+C18+ 1) +F17," ")," ")</f>
        <v xml:space="preserve"> </v>
      </c>
      <c r="G18" s="69" t="str">
        <f ca="1">IFERROR(IF(ISNUMBER(C18),INDEX('2.Distances'!D2:D962,C17*31+C18 + 1) +G17," ")," ")</f>
        <v xml:space="preserve"> </v>
      </c>
      <c r="H18" s="70" t="str">
        <f ca="1">IFERROR(IF(ISNUMBER(C18),INDEX('2.Distances'!D2:D962,C17*31+C18 + 1) +I17," ")," ")</f>
        <v xml:space="preserve"> </v>
      </c>
      <c r="I18" s="70" t="str">
        <f ca="1">IFERROR(IF(AND(C5&lt;&gt;C18,ISNUMBER(H18)),INDEX('1.Locations'!I2:I32,C18 + 1) + MAX(H18,INDEX('1.Locations'!F2:F32,C18 + 1))," ")," ")</f>
        <v xml:space="preserve"> </v>
      </c>
      <c r="J18" s="69" t="str">
        <f ca="1">IFERROR(IF(C5 = C18, H18 - I5, I18 - I5)," ")</f>
        <v xml:space="preserve"> </v>
      </c>
      <c r="K18" s="67" t="str">
        <f ca="1">IFERROR(IF(ISNUMBER(C18),INDEX('1.Locations'!L2:L32,C18 + 1) + K17," ")," ")</f>
        <v xml:space="preserve"> </v>
      </c>
      <c r="L18" s="67" t="str">
        <f ca="1">IFERROR(IF(ISNUMBER(C18),INDEX('1.Locations'!J2:J32,C18 + 1)," ")," ")</f>
        <v xml:space="preserve"> </v>
      </c>
      <c r="M18" s="67" t="str">
        <f ca="1">IFERROR(IF(ISNUMBER(C18),INDEX('1.Locations'!K2:K32,C18 + 1)," ")," ")</f>
        <v xml:space="preserve"> </v>
      </c>
      <c r="N18" s="67" t="str">
        <f ca="1">IFERROR(IF(ISNUMBER(C18),SUM(L5:L18) + SUM(M19:M36)," ")," ")</f>
        <v xml:space="preserve"> </v>
      </c>
      <c r="P18" s="17">
        <v>13</v>
      </c>
      <c r="Q18" s="18"/>
      <c r="R18" s="67" t="str">
        <f ca="1">IFERROR(MATCH(INDIRECT("Q18"),'1.Locations'!B2:B32, 0) - 1," ")</f>
        <v xml:space="preserve"> </v>
      </c>
      <c r="S18" s="67" t="e">
        <f ca="1">IFERROR(IF(ISNUMBER(R18),INDEX('1.Locations'!D2:D32,R18 + 1),NA()),NA())</f>
        <v>#N/A</v>
      </c>
      <c r="T18" s="67" t="e">
        <f ca="1">IFERROR(IF(ISNUMBER(R18),INDEX('1.Locations'!E2:E32,R18 + 1),NA()),NA())</f>
        <v>#N/A</v>
      </c>
      <c r="U18" s="68" t="str">
        <f ca="1">IFERROR(IF(ISNUMBER(R18),INDEX('2.Distances'!C2:C962,R17*31+R18+ 1) +U17," ")," ")</f>
        <v xml:space="preserve"> </v>
      </c>
      <c r="V18" s="69" t="str">
        <f ca="1">IFERROR(IF(ISNUMBER(R18),INDEX('2.Distances'!D2:D962,R17*31+R18 + 1) +V17," ")," ")</f>
        <v xml:space="preserve"> </v>
      </c>
      <c r="W18" s="70" t="str">
        <f ca="1">IFERROR(IF(ISNUMBER(R18),INDEX('2.Distances'!D2:D962,R17*31+R18 + 1) +X17," ")," ")</f>
        <v xml:space="preserve"> </v>
      </c>
      <c r="X18" s="70" t="str">
        <f ca="1">IFERROR(IF(AND(R5&lt;&gt;R18,ISNUMBER(W18)),INDEX('1.Locations'!I2:I32,R18 + 1) + MAX(W18,INDEX('1.Locations'!F2:F32,R18 + 1))," ")," ")</f>
        <v xml:space="preserve"> </v>
      </c>
      <c r="Y18" s="69" t="str">
        <f ca="1">IFERROR(IF(R5 = R18, W18 - X5, X18 - X5)," ")</f>
        <v xml:space="preserve"> </v>
      </c>
      <c r="Z18" s="67" t="str">
        <f ca="1">IFERROR(IF(ISNUMBER(R18),INDEX('1.Locations'!L2:L32,R18 + 1) + Z17," ")," ")</f>
        <v xml:space="preserve"> </v>
      </c>
      <c r="AA18" s="67" t="str">
        <f ca="1">IFERROR(IF(ISNUMBER(R18),INDEX('1.Locations'!J2:J32,R18 + 1)," ")," ")</f>
        <v xml:space="preserve"> </v>
      </c>
      <c r="AB18" s="67" t="str">
        <f ca="1">IFERROR(IF(ISNUMBER(R18),INDEX('1.Locations'!K2:K32,R18 + 1)," ")," ")</f>
        <v xml:space="preserve"> </v>
      </c>
      <c r="AC18" s="67" t="str">
        <f ca="1">IFERROR(IF(ISNUMBER(R18),SUM(AA5:AA18) + SUM(AB19:AB36)," ")," ")</f>
        <v xml:space="preserve"> </v>
      </c>
      <c r="AE18" s="17">
        <v>13</v>
      </c>
      <c r="AF18" s="18"/>
      <c r="AG18" s="67" t="str">
        <f ca="1">IFERROR(MATCH(INDIRECT("AF18"),'1.Locations'!B2:B32, 0) - 1," ")</f>
        <v xml:space="preserve"> </v>
      </c>
      <c r="AH18" s="67" t="e">
        <f ca="1">IFERROR(IF(ISNUMBER(AG18),INDEX('1.Locations'!D2:D32,AG18 + 1),NA()),NA())</f>
        <v>#N/A</v>
      </c>
      <c r="AI18" s="67" t="e">
        <f ca="1">IFERROR(IF(ISNUMBER(AG18),INDEX('1.Locations'!E2:E32,AG18 + 1),NA()),NA())</f>
        <v>#N/A</v>
      </c>
      <c r="AJ18" s="68" t="str">
        <f ca="1">IFERROR(IF(ISNUMBER(AG18),INDEX('2.Distances'!C2:C962,AG17*31+AG18+ 1) +AJ17," ")," ")</f>
        <v xml:space="preserve"> </v>
      </c>
      <c r="AK18" s="69" t="str">
        <f ca="1">IFERROR(IF(ISNUMBER(AG18),INDEX('2.Distances'!D2:D962,AG17*31+AG18 + 1) +AK17," ")," ")</f>
        <v xml:space="preserve"> </v>
      </c>
      <c r="AL18" s="70" t="str">
        <f ca="1">IFERROR(IF(ISNUMBER(AG18),INDEX('2.Distances'!D2:D962,AG17*31+AG18 + 1) +AM17," ")," ")</f>
        <v xml:space="preserve"> </v>
      </c>
      <c r="AM18" s="70" t="str">
        <f ca="1">IFERROR(IF(AND(AG5&lt;&gt;AG18,ISNUMBER(AL18)),INDEX('1.Locations'!I2:I32,AG18 + 1) + MAX(AL18,INDEX('1.Locations'!F2:F32,AG18 + 1))," ")," ")</f>
        <v xml:space="preserve"> </v>
      </c>
      <c r="AN18" s="69" t="str">
        <f ca="1">IFERROR(IF(AG5 = AG18, AL18 - AM5, AM18 - AM5)," ")</f>
        <v xml:space="preserve"> </v>
      </c>
      <c r="AO18" s="67" t="str">
        <f ca="1">IFERROR(IF(ISNUMBER(AG18),INDEX('1.Locations'!L2:L32,AG18 + 1) + AO17," ")," ")</f>
        <v xml:space="preserve"> </v>
      </c>
      <c r="AP18" s="67" t="str">
        <f ca="1">IFERROR(IF(ISNUMBER(AG18),INDEX('1.Locations'!J2:J32,AG18 + 1)," ")," ")</f>
        <v xml:space="preserve"> </v>
      </c>
      <c r="AQ18" s="67" t="str">
        <f ca="1">IFERROR(IF(ISNUMBER(AG18),INDEX('1.Locations'!K2:K32,AG18 + 1)," ")," ")</f>
        <v xml:space="preserve"> </v>
      </c>
      <c r="AR18" s="67" t="str">
        <f ca="1">IFERROR(IF(ISNUMBER(AG18),SUM(AP5:AP18) + SUM(AQ19:AQ36)," ")," ")</f>
        <v xml:space="preserve"> </v>
      </c>
      <c r="AT18" s="17">
        <v>13</v>
      </c>
      <c r="AU18" s="18"/>
      <c r="AV18" s="67" t="str">
        <f ca="1">IFERROR(MATCH(INDIRECT("AU18"),'1.Locations'!B2:B32, 0) - 1," ")</f>
        <v xml:space="preserve"> </v>
      </c>
      <c r="AW18" s="67" t="e">
        <f ca="1">IFERROR(IF(ISNUMBER(AV18),INDEX('1.Locations'!D2:D32,AV18 + 1),NA()),NA())</f>
        <v>#N/A</v>
      </c>
      <c r="AX18" s="67" t="e">
        <f ca="1">IFERROR(IF(ISNUMBER(AV18),INDEX('1.Locations'!E2:E32,AV18 + 1),NA()),NA())</f>
        <v>#N/A</v>
      </c>
      <c r="AY18" s="68" t="str">
        <f ca="1">IFERROR(IF(ISNUMBER(AV18),INDEX('2.Distances'!C2:C962,AV17*31+AV18+ 1) +AY17," ")," ")</f>
        <v xml:space="preserve"> </v>
      </c>
      <c r="AZ18" s="69" t="str">
        <f ca="1">IFERROR(IF(ISNUMBER(AV18),INDEX('2.Distances'!D2:D962,AV17*31+AV18 + 1) +AZ17," ")," ")</f>
        <v xml:space="preserve"> </v>
      </c>
      <c r="BA18" s="70" t="str">
        <f ca="1">IFERROR(IF(ISNUMBER(AV18),INDEX('2.Distances'!D2:D962,AV17*31+AV18 + 1) +BB17," ")," ")</f>
        <v xml:space="preserve"> </v>
      </c>
      <c r="BB18" s="70" t="str">
        <f ca="1">IFERROR(IF(AND(AV5&lt;&gt;AV18,ISNUMBER(BA18)),INDEX('1.Locations'!I2:I32,AV18 + 1) + MAX(BA18,INDEX('1.Locations'!F2:F32,AV18 + 1))," ")," ")</f>
        <v xml:space="preserve"> </v>
      </c>
      <c r="BC18" s="69" t="str">
        <f ca="1">IFERROR(IF(AV5 = AV18, BA18 - BB5, BB18 - BB5)," ")</f>
        <v xml:space="preserve"> </v>
      </c>
      <c r="BD18" s="67" t="str">
        <f ca="1">IFERROR(IF(ISNUMBER(AV18),INDEX('1.Locations'!L2:L32,AV18 + 1) + BD17," ")," ")</f>
        <v xml:space="preserve"> </v>
      </c>
      <c r="BE18" s="67" t="str">
        <f ca="1">IFERROR(IF(ISNUMBER(AV18),INDEX('1.Locations'!J2:J32,AV18 + 1)," ")," ")</f>
        <v xml:space="preserve"> </v>
      </c>
      <c r="BF18" s="67" t="str">
        <f ca="1">IFERROR(IF(ISNUMBER(AV18),INDEX('1.Locations'!K2:K32,AV18 + 1)," ")," ")</f>
        <v xml:space="preserve"> </v>
      </c>
      <c r="BG18" s="67" t="str">
        <f ca="1">IFERROR(IF(ISNUMBER(AV18),SUM(BE5:BE18) + SUM(BF19:BF36)," ")," ")</f>
        <v xml:space="preserve"> </v>
      </c>
      <c r="BI18" s="17">
        <v>13</v>
      </c>
      <c r="BJ18" s="18"/>
      <c r="BK18" s="67" t="str">
        <f ca="1">IFERROR(MATCH(INDIRECT("BJ18"),'1.Locations'!B2:B32, 0) - 1," ")</f>
        <v xml:space="preserve"> </v>
      </c>
      <c r="BL18" s="67" t="e">
        <f ca="1">IFERROR(IF(ISNUMBER(BK18),INDEX('1.Locations'!D2:D32,BK18 + 1),NA()),NA())</f>
        <v>#N/A</v>
      </c>
      <c r="BM18" s="67" t="e">
        <f ca="1">IFERROR(IF(ISNUMBER(BK18),INDEX('1.Locations'!E2:E32,BK18 + 1),NA()),NA())</f>
        <v>#N/A</v>
      </c>
      <c r="BN18" s="68" t="str">
        <f ca="1">IFERROR(IF(ISNUMBER(BK18),INDEX('2.Distances'!C2:C962,BK17*31+BK18+ 1) +BN17," ")," ")</f>
        <v xml:space="preserve"> </v>
      </c>
      <c r="BO18" s="69" t="str">
        <f ca="1">IFERROR(IF(ISNUMBER(BK18),INDEX('2.Distances'!D2:D962,BK17*31+BK18 + 1) +BO17," ")," ")</f>
        <v xml:space="preserve"> </v>
      </c>
      <c r="BP18" s="70" t="str">
        <f ca="1">IFERROR(IF(ISNUMBER(BK18),INDEX('2.Distances'!D2:D962,BK17*31+BK18 + 1) +BQ17," ")," ")</f>
        <v xml:space="preserve"> </v>
      </c>
      <c r="BQ18" s="70" t="str">
        <f ca="1">IFERROR(IF(AND(BK5&lt;&gt;BK18,ISNUMBER(BP18)),INDEX('1.Locations'!I2:I32,BK18 + 1) + MAX(BP18,INDEX('1.Locations'!F2:F32,BK18 + 1))," ")," ")</f>
        <v xml:space="preserve"> </v>
      </c>
      <c r="BR18" s="69" t="str">
        <f ca="1">IFERROR(IF(BK5 = BK18, BP18 - BQ5, BQ18 - BQ5)," ")</f>
        <v xml:space="preserve"> </v>
      </c>
      <c r="BS18" s="67" t="str">
        <f ca="1">IFERROR(IF(ISNUMBER(BK18),INDEX('1.Locations'!L2:L32,BK18 + 1) + BS17," ")," ")</f>
        <v xml:space="preserve"> </v>
      </c>
      <c r="BT18" s="67" t="str">
        <f ca="1">IFERROR(IF(ISNUMBER(BK18),INDEX('1.Locations'!J2:J32,BK18 + 1)," ")," ")</f>
        <v xml:space="preserve"> </v>
      </c>
      <c r="BU18" s="67" t="str">
        <f ca="1">IFERROR(IF(ISNUMBER(BK18),INDEX('1.Locations'!K2:K32,BK18 + 1)," ")," ")</f>
        <v xml:space="preserve"> </v>
      </c>
      <c r="BV18" s="67" t="str">
        <f ca="1">IFERROR(IF(ISNUMBER(BK18),SUM(BT5:BT18) + SUM(BU19:BU36)," ")," ")</f>
        <v xml:space="preserve"> </v>
      </c>
      <c r="BX18" s="17">
        <v>13</v>
      </c>
      <c r="BY18" s="18"/>
      <c r="BZ18" s="67" t="str">
        <f ca="1">IFERROR(MATCH(INDIRECT("BY18"),'1.Locations'!B2:B32, 0) - 1," ")</f>
        <v xml:space="preserve"> </v>
      </c>
      <c r="CA18" s="67" t="e">
        <f ca="1">IFERROR(IF(ISNUMBER(BZ18),INDEX('1.Locations'!D2:D32,BZ18 + 1),NA()),NA())</f>
        <v>#N/A</v>
      </c>
      <c r="CB18" s="67" t="e">
        <f ca="1">IFERROR(IF(ISNUMBER(BZ18),INDEX('1.Locations'!E2:E32,BZ18 + 1),NA()),NA())</f>
        <v>#N/A</v>
      </c>
      <c r="CC18" s="68" t="str">
        <f ca="1">IFERROR(IF(ISNUMBER(BZ18),INDEX('2.Distances'!C2:C962,BZ17*31+BZ18+ 1) +CC17," ")," ")</f>
        <v xml:space="preserve"> </v>
      </c>
      <c r="CD18" s="69" t="str">
        <f ca="1">IFERROR(IF(ISNUMBER(BZ18),INDEX('2.Distances'!D2:D962,BZ17*31+BZ18 + 1) +CD17," ")," ")</f>
        <v xml:space="preserve"> </v>
      </c>
      <c r="CE18" s="70" t="str">
        <f ca="1">IFERROR(IF(ISNUMBER(BZ18),INDEX('2.Distances'!D2:D962,BZ17*31+BZ18 + 1) +CF17," ")," ")</f>
        <v xml:space="preserve"> </v>
      </c>
      <c r="CF18" s="70" t="str">
        <f ca="1">IFERROR(IF(AND(BZ5&lt;&gt;BZ18,ISNUMBER(CE18)),INDEX('1.Locations'!I2:I32,BZ18 + 1) + MAX(CE18,INDEX('1.Locations'!F2:F32,BZ18 + 1))," ")," ")</f>
        <v xml:space="preserve"> </v>
      </c>
      <c r="CG18" s="69" t="str">
        <f ca="1">IFERROR(IF(BZ5 = BZ18, CE18 - CF5, CF18 - CF5)," ")</f>
        <v xml:space="preserve"> </v>
      </c>
      <c r="CH18" s="67" t="str">
        <f ca="1">IFERROR(IF(ISNUMBER(BZ18),INDEX('1.Locations'!L2:L32,BZ18 + 1) + CH17," ")," ")</f>
        <v xml:space="preserve"> </v>
      </c>
      <c r="CI18" s="67" t="str">
        <f ca="1">IFERROR(IF(ISNUMBER(BZ18),INDEX('1.Locations'!J2:J32,BZ18 + 1)," ")," ")</f>
        <v xml:space="preserve"> </v>
      </c>
      <c r="CJ18" s="67" t="str">
        <f ca="1">IFERROR(IF(ISNUMBER(BZ18),INDEX('1.Locations'!K2:K32,BZ18 + 1)," ")," ")</f>
        <v xml:space="preserve"> </v>
      </c>
      <c r="CK18" s="67" t="str">
        <f ca="1">IFERROR(IF(ISNUMBER(BZ18),SUM(CI5:CI18) + SUM(CJ19:CJ36)," ")," ")</f>
        <v xml:space="preserve"> </v>
      </c>
      <c r="CM18" s="17">
        <v>13</v>
      </c>
      <c r="CN18" s="18"/>
      <c r="CO18" s="67" t="str">
        <f ca="1">IFERROR(MATCH(INDIRECT("CN18"),'1.Locations'!B2:B32, 0) - 1," ")</f>
        <v xml:space="preserve"> </v>
      </c>
      <c r="CP18" s="67" t="e">
        <f ca="1">IFERROR(IF(ISNUMBER(CO18),INDEX('1.Locations'!D2:D32,CO18 + 1),NA()),NA())</f>
        <v>#N/A</v>
      </c>
      <c r="CQ18" s="67" t="e">
        <f ca="1">IFERROR(IF(ISNUMBER(CO18),INDEX('1.Locations'!E2:E32,CO18 + 1),NA()),NA())</f>
        <v>#N/A</v>
      </c>
      <c r="CR18" s="68" t="str">
        <f ca="1">IFERROR(IF(ISNUMBER(CO18),INDEX('2.Distances'!C2:C962,CO17*31+CO18+ 1) +CR17," ")," ")</f>
        <v xml:space="preserve"> </v>
      </c>
      <c r="CS18" s="69" t="str">
        <f ca="1">IFERROR(IF(ISNUMBER(CO18),INDEX('2.Distances'!D2:D962,CO17*31+CO18 + 1) +CS17," ")," ")</f>
        <v xml:space="preserve"> </v>
      </c>
      <c r="CT18" s="70" t="str">
        <f ca="1">IFERROR(IF(ISNUMBER(CO18),INDEX('2.Distances'!D2:D962,CO17*31+CO18 + 1) +CU17," ")," ")</f>
        <v xml:space="preserve"> </v>
      </c>
      <c r="CU18" s="70" t="str">
        <f ca="1">IFERROR(IF(AND(CO5&lt;&gt;CO18,ISNUMBER(CT18)),INDEX('1.Locations'!I2:I32,CO18 + 1) + MAX(CT18,INDEX('1.Locations'!F2:F32,CO18 + 1))," ")," ")</f>
        <v xml:space="preserve"> </v>
      </c>
      <c r="CV18" s="69" t="str">
        <f ca="1">IFERROR(IF(CO5 = CO18, CT18 - CU5, CU18 - CU5)," ")</f>
        <v xml:space="preserve"> </v>
      </c>
      <c r="CW18" s="67" t="str">
        <f ca="1">IFERROR(IF(ISNUMBER(CO18),INDEX('1.Locations'!L2:L32,CO18 + 1) + CW17," ")," ")</f>
        <v xml:space="preserve"> </v>
      </c>
      <c r="CX18" s="67" t="str">
        <f ca="1">IFERROR(IF(ISNUMBER(CO18),INDEX('1.Locations'!J2:J32,CO18 + 1)," ")," ")</f>
        <v xml:space="preserve"> </v>
      </c>
      <c r="CY18" s="67" t="str">
        <f ca="1">IFERROR(IF(ISNUMBER(CO18),INDEX('1.Locations'!K2:K32,CO18 + 1)," ")," ")</f>
        <v xml:space="preserve"> </v>
      </c>
      <c r="CZ18" s="67" t="str">
        <f ca="1">IFERROR(IF(ISNUMBER(CO18),SUM(CX5:CX18) + SUM(CY19:CY36)," ")," ")</f>
        <v xml:space="preserve"> </v>
      </c>
      <c r="DB18" s="17">
        <v>13</v>
      </c>
      <c r="DC18" s="18"/>
      <c r="DD18" s="67" t="str">
        <f ca="1">IFERROR(MATCH(INDIRECT("DC18"),'1.Locations'!B2:B32, 0) - 1," ")</f>
        <v xml:space="preserve"> </v>
      </c>
      <c r="DE18" s="67" t="e">
        <f ca="1">IFERROR(IF(ISNUMBER(DD18),INDEX('1.Locations'!D2:D32,DD18 + 1),NA()),NA())</f>
        <v>#N/A</v>
      </c>
      <c r="DF18" s="67" t="e">
        <f ca="1">IFERROR(IF(ISNUMBER(DD18),INDEX('1.Locations'!E2:E32,DD18 + 1),NA()),NA())</f>
        <v>#N/A</v>
      </c>
      <c r="DG18" s="68" t="str">
        <f ca="1">IFERROR(IF(ISNUMBER(DD18),INDEX('2.Distances'!C2:C962,DD17*31+DD18+ 1) +DG17," ")," ")</f>
        <v xml:space="preserve"> </v>
      </c>
      <c r="DH18" s="69" t="str">
        <f ca="1">IFERROR(IF(ISNUMBER(DD18),INDEX('2.Distances'!D2:D962,DD17*31+DD18 + 1) +DH17," ")," ")</f>
        <v xml:space="preserve"> </v>
      </c>
      <c r="DI18" s="70" t="str">
        <f ca="1">IFERROR(IF(ISNUMBER(DD18),INDEX('2.Distances'!D2:D962,DD17*31+DD18 + 1) +DJ17," ")," ")</f>
        <v xml:space="preserve"> </v>
      </c>
      <c r="DJ18" s="70" t="str">
        <f ca="1">IFERROR(IF(AND(DD5&lt;&gt;DD18,ISNUMBER(DI18)),INDEX('1.Locations'!I2:I32,DD18 + 1) + MAX(DI18,INDEX('1.Locations'!F2:F32,DD18 + 1))," ")," ")</f>
        <v xml:space="preserve"> </v>
      </c>
      <c r="DK18" s="69" t="str">
        <f ca="1">IFERROR(IF(DD5 = DD18, DI18 - DJ5, DJ18 - DJ5)," ")</f>
        <v xml:space="preserve"> </v>
      </c>
      <c r="DL18" s="67" t="str">
        <f ca="1">IFERROR(IF(ISNUMBER(DD18),INDEX('1.Locations'!L2:L32,DD18 + 1) + DL17," ")," ")</f>
        <v xml:space="preserve"> </v>
      </c>
      <c r="DM18" s="67" t="str">
        <f ca="1">IFERROR(IF(ISNUMBER(DD18),INDEX('1.Locations'!J2:J32,DD18 + 1)," ")," ")</f>
        <v xml:space="preserve"> </v>
      </c>
      <c r="DN18" s="67" t="str">
        <f ca="1">IFERROR(IF(ISNUMBER(DD18),INDEX('1.Locations'!K2:K32,DD18 + 1)," ")," ")</f>
        <v xml:space="preserve"> </v>
      </c>
      <c r="DO18" s="67" t="str">
        <f ca="1">IFERROR(IF(ISNUMBER(DD18),SUM(DM5:DM18) + SUM(DN19:DN36)," ")," ")</f>
        <v xml:space="preserve"> </v>
      </c>
      <c r="DQ18" s="17">
        <v>13</v>
      </c>
      <c r="DR18" s="18"/>
      <c r="DS18" s="67" t="str">
        <f ca="1">IFERROR(MATCH(INDIRECT("DR18"),'1.Locations'!B2:B32, 0) - 1," ")</f>
        <v xml:space="preserve"> </v>
      </c>
      <c r="DT18" s="67" t="e">
        <f ca="1">IFERROR(IF(ISNUMBER(DS18),INDEX('1.Locations'!D2:D32,DS18 + 1),NA()),NA())</f>
        <v>#N/A</v>
      </c>
      <c r="DU18" s="67" t="e">
        <f ca="1">IFERROR(IF(ISNUMBER(DS18),INDEX('1.Locations'!E2:E32,DS18 + 1),NA()),NA())</f>
        <v>#N/A</v>
      </c>
      <c r="DV18" s="68" t="str">
        <f ca="1">IFERROR(IF(ISNUMBER(DS18),INDEX('2.Distances'!C2:C962,DS17*31+DS18+ 1) +DV17," ")," ")</f>
        <v xml:space="preserve"> </v>
      </c>
      <c r="DW18" s="69" t="str">
        <f ca="1">IFERROR(IF(ISNUMBER(DS18),INDEX('2.Distances'!D2:D962,DS17*31+DS18 + 1) +DW17," ")," ")</f>
        <v xml:space="preserve"> </v>
      </c>
      <c r="DX18" s="70" t="str">
        <f ca="1">IFERROR(IF(ISNUMBER(DS18),INDEX('2.Distances'!D2:D962,DS17*31+DS18 + 1) +DY17," ")," ")</f>
        <v xml:space="preserve"> </v>
      </c>
      <c r="DY18" s="70" t="str">
        <f ca="1">IFERROR(IF(AND(DS5&lt;&gt;DS18,ISNUMBER(DX18)),INDEX('1.Locations'!I2:I32,DS18 + 1) + MAX(DX18,INDEX('1.Locations'!F2:F32,DS18 + 1))," ")," ")</f>
        <v xml:space="preserve"> </v>
      </c>
      <c r="DZ18" s="69" t="str">
        <f ca="1">IFERROR(IF(DS5 = DS18, DX18 - DY5, DY18 - DY5)," ")</f>
        <v xml:space="preserve"> </v>
      </c>
      <c r="EA18" s="67" t="str">
        <f ca="1">IFERROR(IF(ISNUMBER(DS18),INDEX('1.Locations'!L2:L32,DS18 + 1) + EA17," ")," ")</f>
        <v xml:space="preserve"> </v>
      </c>
      <c r="EB18" s="67" t="str">
        <f ca="1">IFERROR(IF(ISNUMBER(DS18),INDEX('1.Locations'!J2:J32,DS18 + 1)," ")," ")</f>
        <v xml:space="preserve"> </v>
      </c>
      <c r="EC18" s="67" t="str">
        <f ca="1">IFERROR(IF(ISNUMBER(DS18),INDEX('1.Locations'!K2:K32,DS18 + 1)," ")," ")</f>
        <v xml:space="preserve"> </v>
      </c>
      <c r="ED18" s="67" t="str">
        <f ca="1">IFERROR(IF(ISNUMBER(DS18),SUM(EB5:EB18) + SUM(EC19:EC36)," ")," ")</f>
        <v xml:space="preserve"> </v>
      </c>
      <c r="EF18" s="17">
        <v>13</v>
      </c>
      <c r="EG18" s="18"/>
      <c r="EH18" s="67" t="str">
        <f ca="1">IFERROR(MATCH(INDIRECT("EG18"),'1.Locations'!B2:B32, 0) - 1," ")</f>
        <v xml:space="preserve"> </v>
      </c>
      <c r="EI18" s="67" t="e">
        <f ca="1">IFERROR(IF(ISNUMBER(EH18),INDEX('1.Locations'!D2:D32,EH18 + 1),NA()),NA())</f>
        <v>#N/A</v>
      </c>
      <c r="EJ18" s="67" t="e">
        <f ca="1">IFERROR(IF(ISNUMBER(EH18),INDEX('1.Locations'!E2:E32,EH18 + 1),NA()),NA())</f>
        <v>#N/A</v>
      </c>
      <c r="EK18" s="68" t="str">
        <f ca="1">IFERROR(IF(ISNUMBER(EH18),INDEX('2.Distances'!C2:C962,EH17*31+EH18+ 1) +EK17," ")," ")</f>
        <v xml:space="preserve"> </v>
      </c>
      <c r="EL18" s="69" t="str">
        <f ca="1">IFERROR(IF(ISNUMBER(EH18),INDEX('2.Distances'!D2:D962,EH17*31+EH18 + 1) +EL17," ")," ")</f>
        <v xml:space="preserve"> </v>
      </c>
      <c r="EM18" s="70" t="str">
        <f ca="1">IFERROR(IF(ISNUMBER(EH18),INDEX('2.Distances'!D2:D962,EH17*31+EH18 + 1) +EN17," ")," ")</f>
        <v xml:space="preserve"> </v>
      </c>
      <c r="EN18" s="70" t="str">
        <f ca="1">IFERROR(IF(AND(EH5&lt;&gt;EH18,ISNUMBER(EM18)),INDEX('1.Locations'!I2:I32,EH18 + 1) + MAX(EM18,INDEX('1.Locations'!F2:F32,EH18 + 1))," ")," ")</f>
        <v xml:space="preserve"> </v>
      </c>
      <c r="EO18" s="69" t="str">
        <f ca="1">IFERROR(IF(EH5 = EH18, EM18 - EN5, EN18 - EN5)," ")</f>
        <v xml:space="preserve"> </v>
      </c>
      <c r="EP18" s="67" t="str">
        <f ca="1">IFERROR(IF(ISNUMBER(EH18),INDEX('1.Locations'!L2:L32,EH18 + 1) + EP17," ")," ")</f>
        <v xml:space="preserve"> </v>
      </c>
      <c r="EQ18" s="67" t="str">
        <f ca="1">IFERROR(IF(ISNUMBER(EH18),INDEX('1.Locations'!J2:J32,EH18 + 1)," ")," ")</f>
        <v xml:space="preserve"> </v>
      </c>
      <c r="ER18" s="67" t="str">
        <f ca="1">IFERROR(IF(ISNUMBER(EH18),INDEX('1.Locations'!K2:K32,EH18 + 1)," ")," ")</f>
        <v xml:space="preserve"> </v>
      </c>
      <c r="ES18" s="67" t="str">
        <f ca="1">IFERROR(IF(ISNUMBER(EH18),SUM(EQ5:EQ18) + SUM(ER19:ER36)," ")," ")</f>
        <v xml:space="preserve"> </v>
      </c>
    </row>
    <row r="19" spans="1:149" x14ac:dyDescent="0.25">
      <c r="A19" s="17">
        <v>14</v>
      </c>
      <c r="B19" s="21"/>
      <c r="C19" s="67" t="str">
        <f ca="1">IFERROR(MATCH(INDIRECT("B19"),'1.Locations'!B2:B32, 0) - 1," ")</f>
        <v xml:space="preserve"> </v>
      </c>
      <c r="D19" s="67" t="e">
        <f ca="1">IFERROR(IF(ISNUMBER(C19),INDEX('1.Locations'!D2:D32,C19 + 1),NA()),NA())</f>
        <v>#N/A</v>
      </c>
      <c r="E19" s="67" t="e">
        <f ca="1">IFERROR(IF(ISNUMBER(C19),INDEX('1.Locations'!E2:E32,C19 + 1),NA()),NA())</f>
        <v>#N/A</v>
      </c>
      <c r="F19" s="68" t="str">
        <f ca="1">IFERROR(IF(ISNUMBER(C19),INDEX('2.Distances'!C2:C962,C18*31+C19+ 1) +F18," ")," ")</f>
        <v xml:space="preserve"> </v>
      </c>
      <c r="G19" s="69" t="str">
        <f ca="1">IFERROR(IF(ISNUMBER(C19),INDEX('2.Distances'!D2:D962,C18*31+C19 + 1) +G18," ")," ")</f>
        <v xml:space="preserve"> </v>
      </c>
      <c r="H19" s="70" t="str">
        <f ca="1">IFERROR(IF(ISNUMBER(C19),INDEX('2.Distances'!D2:D962,C18*31+C19 + 1) +I18," ")," ")</f>
        <v xml:space="preserve"> </v>
      </c>
      <c r="I19" s="70" t="str">
        <f ca="1">IFERROR(IF(AND(C5&lt;&gt;C19,ISNUMBER(H19)),INDEX('1.Locations'!I2:I32,C19 + 1) + MAX(H19,INDEX('1.Locations'!F2:F32,C19 + 1))," ")," ")</f>
        <v xml:space="preserve"> </v>
      </c>
      <c r="J19" s="69" t="str">
        <f ca="1">IFERROR(IF(C5 = C19, H19 - I5, I19 - I5)," ")</f>
        <v xml:space="preserve"> </v>
      </c>
      <c r="K19" s="67" t="str">
        <f ca="1">IFERROR(IF(ISNUMBER(C19),INDEX('1.Locations'!L2:L32,C19 + 1) + K18," ")," ")</f>
        <v xml:space="preserve"> </v>
      </c>
      <c r="L19" s="67" t="str">
        <f ca="1">IFERROR(IF(ISNUMBER(C19),INDEX('1.Locations'!J2:J32,C19 + 1)," ")," ")</f>
        <v xml:space="preserve"> </v>
      </c>
      <c r="M19" s="67" t="str">
        <f ca="1">IFERROR(IF(ISNUMBER(C19),INDEX('1.Locations'!K2:K32,C19 + 1)," ")," ")</f>
        <v xml:space="preserve"> </v>
      </c>
      <c r="N19" s="67" t="str">
        <f ca="1">IFERROR(IF(ISNUMBER(C19),SUM(L5:L19) + SUM(M20:M36)," ")," ")</f>
        <v xml:space="preserve"> </v>
      </c>
      <c r="P19" s="17">
        <v>14</v>
      </c>
      <c r="Q19" s="21"/>
      <c r="R19" s="67" t="str">
        <f ca="1">IFERROR(MATCH(INDIRECT("Q19"),'1.Locations'!B2:B32, 0) - 1," ")</f>
        <v xml:space="preserve"> </v>
      </c>
      <c r="S19" s="67" t="e">
        <f ca="1">IFERROR(IF(ISNUMBER(R19),INDEX('1.Locations'!D2:D32,R19 + 1),NA()),NA())</f>
        <v>#N/A</v>
      </c>
      <c r="T19" s="67" t="e">
        <f ca="1">IFERROR(IF(ISNUMBER(R19),INDEX('1.Locations'!E2:E32,R19 + 1),NA()),NA())</f>
        <v>#N/A</v>
      </c>
      <c r="U19" s="68" t="str">
        <f ca="1">IFERROR(IF(ISNUMBER(R19),INDEX('2.Distances'!C2:C962,R18*31+R19+ 1) +U18," ")," ")</f>
        <v xml:space="preserve"> </v>
      </c>
      <c r="V19" s="69" t="str">
        <f ca="1">IFERROR(IF(ISNUMBER(R19),INDEX('2.Distances'!D2:D962,R18*31+R19 + 1) +V18," ")," ")</f>
        <v xml:space="preserve"> </v>
      </c>
      <c r="W19" s="70" t="str">
        <f ca="1">IFERROR(IF(ISNUMBER(R19),INDEX('2.Distances'!D2:D962,R18*31+R19 + 1) +X18," ")," ")</f>
        <v xml:space="preserve"> </v>
      </c>
      <c r="X19" s="70" t="str">
        <f ca="1">IFERROR(IF(AND(R5&lt;&gt;R19,ISNUMBER(W19)),INDEX('1.Locations'!I2:I32,R19 + 1) + MAX(W19,INDEX('1.Locations'!F2:F32,R19 + 1))," ")," ")</f>
        <v xml:space="preserve"> </v>
      </c>
      <c r="Y19" s="69" t="str">
        <f ca="1">IFERROR(IF(R5 = R19, W19 - X5, X19 - X5)," ")</f>
        <v xml:space="preserve"> </v>
      </c>
      <c r="Z19" s="67" t="str">
        <f ca="1">IFERROR(IF(ISNUMBER(R19),INDEX('1.Locations'!L2:L32,R19 + 1) + Z18," ")," ")</f>
        <v xml:space="preserve"> </v>
      </c>
      <c r="AA19" s="67" t="str">
        <f ca="1">IFERROR(IF(ISNUMBER(R19),INDEX('1.Locations'!J2:J32,R19 + 1)," ")," ")</f>
        <v xml:space="preserve"> </v>
      </c>
      <c r="AB19" s="67" t="str">
        <f ca="1">IFERROR(IF(ISNUMBER(R19),INDEX('1.Locations'!K2:K32,R19 + 1)," ")," ")</f>
        <v xml:space="preserve"> </v>
      </c>
      <c r="AC19" s="67" t="str">
        <f ca="1">IFERROR(IF(ISNUMBER(R19),SUM(AA5:AA19) + SUM(AB20:AB36)," ")," ")</f>
        <v xml:space="preserve"> </v>
      </c>
      <c r="AE19" s="17">
        <v>14</v>
      </c>
      <c r="AF19" s="21"/>
      <c r="AG19" s="67" t="str">
        <f ca="1">IFERROR(MATCH(INDIRECT("AF19"),'1.Locations'!B2:B32, 0) - 1," ")</f>
        <v xml:space="preserve"> </v>
      </c>
      <c r="AH19" s="67" t="e">
        <f ca="1">IFERROR(IF(ISNUMBER(AG19),INDEX('1.Locations'!D2:D32,AG19 + 1),NA()),NA())</f>
        <v>#N/A</v>
      </c>
      <c r="AI19" s="67" t="e">
        <f ca="1">IFERROR(IF(ISNUMBER(AG19),INDEX('1.Locations'!E2:E32,AG19 + 1),NA()),NA())</f>
        <v>#N/A</v>
      </c>
      <c r="AJ19" s="68" t="str">
        <f ca="1">IFERROR(IF(ISNUMBER(AG19),INDEX('2.Distances'!C2:C962,AG18*31+AG19+ 1) +AJ18," ")," ")</f>
        <v xml:space="preserve"> </v>
      </c>
      <c r="AK19" s="69" t="str">
        <f ca="1">IFERROR(IF(ISNUMBER(AG19),INDEX('2.Distances'!D2:D962,AG18*31+AG19 + 1) +AK18," ")," ")</f>
        <v xml:space="preserve"> </v>
      </c>
      <c r="AL19" s="70" t="str">
        <f ca="1">IFERROR(IF(ISNUMBER(AG19),INDEX('2.Distances'!D2:D962,AG18*31+AG19 + 1) +AM18," ")," ")</f>
        <v xml:space="preserve"> </v>
      </c>
      <c r="AM19" s="70" t="str">
        <f ca="1">IFERROR(IF(AND(AG5&lt;&gt;AG19,ISNUMBER(AL19)),INDEX('1.Locations'!I2:I32,AG19 + 1) + MAX(AL19,INDEX('1.Locations'!F2:F32,AG19 + 1))," ")," ")</f>
        <v xml:space="preserve"> </v>
      </c>
      <c r="AN19" s="69" t="str">
        <f ca="1">IFERROR(IF(AG5 = AG19, AL19 - AM5, AM19 - AM5)," ")</f>
        <v xml:space="preserve"> </v>
      </c>
      <c r="AO19" s="67" t="str">
        <f ca="1">IFERROR(IF(ISNUMBER(AG19),INDEX('1.Locations'!L2:L32,AG19 + 1) + AO18," ")," ")</f>
        <v xml:space="preserve"> </v>
      </c>
      <c r="AP19" s="67" t="str">
        <f ca="1">IFERROR(IF(ISNUMBER(AG19),INDEX('1.Locations'!J2:J32,AG19 + 1)," ")," ")</f>
        <v xml:space="preserve"> </v>
      </c>
      <c r="AQ19" s="67" t="str">
        <f ca="1">IFERROR(IF(ISNUMBER(AG19),INDEX('1.Locations'!K2:K32,AG19 + 1)," ")," ")</f>
        <v xml:space="preserve"> </v>
      </c>
      <c r="AR19" s="67" t="str">
        <f ca="1">IFERROR(IF(ISNUMBER(AG19),SUM(AP5:AP19) + SUM(AQ20:AQ36)," ")," ")</f>
        <v xml:space="preserve"> </v>
      </c>
      <c r="AT19" s="17">
        <v>14</v>
      </c>
      <c r="AU19" s="21"/>
      <c r="AV19" s="67" t="str">
        <f ca="1">IFERROR(MATCH(INDIRECT("AU19"),'1.Locations'!B2:B32, 0) - 1," ")</f>
        <v xml:space="preserve"> </v>
      </c>
      <c r="AW19" s="67" t="e">
        <f ca="1">IFERROR(IF(ISNUMBER(AV19),INDEX('1.Locations'!D2:D32,AV19 + 1),NA()),NA())</f>
        <v>#N/A</v>
      </c>
      <c r="AX19" s="67" t="e">
        <f ca="1">IFERROR(IF(ISNUMBER(AV19),INDEX('1.Locations'!E2:E32,AV19 + 1),NA()),NA())</f>
        <v>#N/A</v>
      </c>
      <c r="AY19" s="68" t="str">
        <f ca="1">IFERROR(IF(ISNUMBER(AV19),INDEX('2.Distances'!C2:C962,AV18*31+AV19+ 1) +AY18," ")," ")</f>
        <v xml:space="preserve"> </v>
      </c>
      <c r="AZ19" s="69" t="str">
        <f ca="1">IFERROR(IF(ISNUMBER(AV19),INDEX('2.Distances'!D2:D962,AV18*31+AV19 + 1) +AZ18," ")," ")</f>
        <v xml:space="preserve"> </v>
      </c>
      <c r="BA19" s="70" t="str">
        <f ca="1">IFERROR(IF(ISNUMBER(AV19),INDEX('2.Distances'!D2:D962,AV18*31+AV19 + 1) +BB18," ")," ")</f>
        <v xml:space="preserve"> </v>
      </c>
      <c r="BB19" s="70" t="str">
        <f ca="1">IFERROR(IF(AND(AV5&lt;&gt;AV19,ISNUMBER(BA19)),INDEX('1.Locations'!I2:I32,AV19 + 1) + MAX(BA19,INDEX('1.Locations'!F2:F32,AV19 + 1))," ")," ")</f>
        <v xml:space="preserve"> </v>
      </c>
      <c r="BC19" s="69" t="str">
        <f ca="1">IFERROR(IF(AV5 = AV19, BA19 - BB5, BB19 - BB5)," ")</f>
        <v xml:space="preserve"> </v>
      </c>
      <c r="BD19" s="67" t="str">
        <f ca="1">IFERROR(IF(ISNUMBER(AV19),INDEX('1.Locations'!L2:L32,AV19 + 1) + BD18," ")," ")</f>
        <v xml:space="preserve"> </v>
      </c>
      <c r="BE19" s="67" t="str">
        <f ca="1">IFERROR(IF(ISNUMBER(AV19),INDEX('1.Locations'!J2:J32,AV19 + 1)," ")," ")</f>
        <v xml:space="preserve"> </v>
      </c>
      <c r="BF19" s="67" t="str">
        <f ca="1">IFERROR(IF(ISNUMBER(AV19),INDEX('1.Locations'!K2:K32,AV19 + 1)," ")," ")</f>
        <v xml:space="preserve"> </v>
      </c>
      <c r="BG19" s="67" t="str">
        <f ca="1">IFERROR(IF(ISNUMBER(AV19),SUM(BE5:BE19) + SUM(BF20:BF36)," ")," ")</f>
        <v xml:space="preserve"> </v>
      </c>
      <c r="BI19" s="17">
        <v>14</v>
      </c>
      <c r="BJ19" s="21"/>
      <c r="BK19" s="67" t="str">
        <f ca="1">IFERROR(MATCH(INDIRECT("BJ19"),'1.Locations'!B2:B32, 0) - 1," ")</f>
        <v xml:space="preserve"> </v>
      </c>
      <c r="BL19" s="67" t="e">
        <f ca="1">IFERROR(IF(ISNUMBER(BK19),INDEX('1.Locations'!D2:D32,BK19 + 1),NA()),NA())</f>
        <v>#N/A</v>
      </c>
      <c r="BM19" s="67" t="e">
        <f ca="1">IFERROR(IF(ISNUMBER(BK19),INDEX('1.Locations'!E2:E32,BK19 + 1),NA()),NA())</f>
        <v>#N/A</v>
      </c>
      <c r="BN19" s="68" t="str">
        <f ca="1">IFERROR(IF(ISNUMBER(BK19),INDEX('2.Distances'!C2:C962,BK18*31+BK19+ 1) +BN18," ")," ")</f>
        <v xml:space="preserve"> </v>
      </c>
      <c r="BO19" s="69" t="str">
        <f ca="1">IFERROR(IF(ISNUMBER(BK19),INDEX('2.Distances'!D2:D962,BK18*31+BK19 + 1) +BO18," ")," ")</f>
        <v xml:space="preserve"> </v>
      </c>
      <c r="BP19" s="70" t="str">
        <f ca="1">IFERROR(IF(ISNUMBER(BK19),INDEX('2.Distances'!D2:D962,BK18*31+BK19 + 1) +BQ18," ")," ")</f>
        <v xml:space="preserve"> </v>
      </c>
      <c r="BQ19" s="70" t="str">
        <f ca="1">IFERROR(IF(AND(BK5&lt;&gt;BK19,ISNUMBER(BP19)),INDEX('1.Locations'!I2:I32,BK19 + 1) + MAX(BP19,INDEX('1.Locations'!F2:F32,BK19 + 1))," ")," ")</f>
        <v xml:space="preserve"> </v>
      </c>
      <c r="BR19" s="69" t="str">
        <f ca="1">IFERROR(IF(BK5 = BK19, BP19 - BQ5, BQ19 - BQ5)," ")</f>
        <v xml:space="preserve"> </v>
      </c>
      <c r="BS19" s="67" t="str">
        <f ca="1">IFERROR(IF(ISNUMBER(BK19),INDEX('1.Locations'!L2:L32,BK19 + 1) + BS18," ")," ")</f>
        <v xml:space="preserve"> </v>
      </c>
      <c r="BT19" s="67" t="str">
        <f ca="1">IFERROR(IF(ISNUMBER(BK19),INDEX('1.Locations'!J2:J32,BK19 + 1)," ")," ")</f>
        <v xml:space="preserve"> </v>
      </c>
      <c r="BU19" s="67" t="str">
        <f ca="1">IFERROR(IF(ISNUMBER(BK19),INDEX('1.Locations'!K2:K32,BK19 + 1)," ")," ")</f>
        <v xml:space="preserve"> </v>
      </c>
      <c r="BV19" s="67" t="str">
        <f ca="1">IFERROR(IF(ISNUMBER(BK19),SUM(BT5:BT19) + SUM(BU20:BU36)," ")," ")</f>
        <v xml:space="preserve"> </v>
      </c>
      <c r="BX19" s="17">
        <v>14</v>
      </c>
      <c r="BY19" s="21"/>
      <c r="BZ19" s="67" t="str">
        <f ca="1">IFERROR(MATCH(INDIRECT("BY19"),'1.Locations'!B2:B32, 0) - 1," ")</f>
        <v xml:space="preserve"> </v>
      </c>
      <c r="CA19" s="67" t="e">
        <f ca="1">IFERROR(IF(ISNUMBER(BZ19),INDEX('1.Locations'!D2:D32,BZ19 + 1),NA()),NA())</f>
        <v>#N/A</v>
      </c>
      <c r="CB19" s="67" t="e">
        <f ca="1">IFERROR(IF(ISNUMBER(BZ19),INDEX('1.Locations'!E2:E32,BZ19 + 1),NA()),NA())</f>
        <v>#N/A</v>
      </c>
      <c r="CC19" s="68" t="str">
        <f ca="1">IFERROR(IF(ISNUMBER(BZ19),INDEX('2.Distances'!C2:C962,BZ18*31+BZ19+ 1) +CC18," ")," ")</f>
        <v xml:space="preserve"> </v>
      </c>
      <c r="CD19" s="69" t="str">
        <f ca="1">IFERROR(IF(ISNUMBER(BZ19),INDEX('2.Distances'!D2:D962,BZ18*31+BZ19 + 1) +CD18," ")," ")</f>
        <v xml:space="preserve"> </v>
      </c>
      <c r="CE19" s="70" t="str">
        <f ca="1">IFERROR(IF(ISNUMBER(BZ19),INDEX('2.Distances'!D2:D962,BZ18*31+BZ19 + 1) +CF18," ")," ")</f>
        <v xml:space="preserve"> </v>
      </c>
      <c r="CF19" s="70" t="str">
        <f ca="1">IFERROR(IF(AND(BZ5&lt;&gt;BZ19,ISNUMBER(CE19)),INDEX('1.Locations'!I2:I32,BZ19 + 1) + MAX(CE19,INDEX('1.Locations'!F2:F32,BZ19 + 1))," ")," ")</f>
        <v xml:space="preserve"> </v>
      </c>
      <c r="CG19" s="69" t="str">
        <f ca="1">IFERROR(IF(BZ5 = BZ19, CE19 - CF5, CF19 - CF5)," ")</f>
        <v xml:space="preserve"> </v>
      </c>
      <c r="CH19" s="67" t="str">
        <f ca="1">IFERROR(IF(ISNUMBER(BZ19),INDEX('1.Locations'!L2:L32,BZ19 + 1) + CH18," ")," ")</f>
        <v xml:space="preserve"> </v>
      </c>
      <c r="CI19" s="67" t="str">
        <f ca="1">IFERROR(IF(ISNUMBER(BZ19),INDEX('1.Locations'!J2:J32,BZ19 + 1)," ")," ")</f>
        <v xml:space="preserve"> </v>
      </c>
      <c r="CJ19" s="67" t="str">
        <f ca="1">IFERROR(IF(ISNUMBER(BZ19),INDEX('1.Locations'!K2:K32,BZ19 + 1)," ")," ")</f>
        <v xml:space="preserve"> </v>
      </c>
      <c r="CK19" s="67" t="str">
        <f ca="1">IFERROR(IF(ISNUMBER(BZ19),SUM(CI5:CI19) + SUM(CJ20:CJ36)," ")," ")</f>
        <v xml:space="preserve"> </v>
      </c>
      <c r="CM19" s="17">
        <v>14</v>
      </c>
      <c r="CN19" s="21"/>
      <c r="CO19" s="67" t="str">
        <f ca="1">IFERROR(MATCH(INDIRECT("CN19"),'1.Locations'!B2:B32, 0) - 1," ")</f>
        <v xml:space="preserve"> </v>
      </c>
      <c r="CP19" s="67" t="e">
        <f ca="1">IFERROR(IF(ISNUMBER(CO19),INDEX('1.Locations'!D2:D32,CO19 + 1),NA()),NA())</f>
        <v>#N/A</v>
      </c>
      <c r="CQ19" s="67" t="e">
        <f ca="1">IFERROR(IF(ISNUMBER(CO19),INDEX('1.Locations'!E2:E32,CO19 + 1),NA()),NA())</f>
        <v>#N/A</v>
      </c>
      <c r="CR19" s="68" t="str">
        <f ca="1">IFERROR(IF(ISNUMBER(CO19),INDEX('2.Distances'!C2:C962,CO18*31+CO19+ 1) +CR18," ")," ")</f>
        <v xml:space="preserve"> </v>
      </c>
      <c r="CS19" s="69" t="str">
        <f ca="1">IFERROR(IF(ISNUMBER(CO19),INDEX('2.Distances'!D2:D962,CO18*31+CO19 + 1) +CS18," ")," ")</f>
        <v xml:space="preserve"> </v>
      </c>
      <c r="CT19" s="70" t="str">
        <f ca="1">IFERROR(IF(ISNUMBER(CO19),INDEX('2.Distances'!D2:D962,CO18*31+CO19 + 1) +CU18," ")," ")</f>
        <v xml:space="preserve"> </v>
      </c>
      <c r="CU19" s="70" t="str">
        <f ca="1">IFERROR(IF(AND(CO5&lt;&gt;CO19,ISNUMBER(CT19)),INDEX('1.Locations'!I2:I32,CO19 + 1) + MAX(CT19,INDEX('1.Locations'!F2:F32,CO19 + 1))," ")," ")</f>
        <v xml:space="preserve"> </v>
      </c>
      <c r="CV19" s="69" t="str">
        <f ca="1">IFERROR(IF(CO5 = CO19, CT19 - CU5, CU19 - CU5)," ")</f>
        <v xml:space="preserve"> </v>
      </c>
      <c r="CW19" s="67" t="str">
        <f ca="1">IFERROR(IF(ISNUMBER(CO19),INDEX('1.Locations'!L2:L32,CO19 + 1) + CW18," ")," ")</f>
        <v xml:space="preserve"> </v>
      </c>
      <c r="CX19" s="67" t="str">
        <f ca="1">IFERROR(IF(ISNUMBER(CO19),INDEX('1.Locations'!J2:J32,CO19 + 1)," ")," ")</f>
        <v xml:space="preserve"> </v>
      </c>
      <c r="CY19" s="67" t="str">
        <f ca="1">IFERROR(IF(ISNUMBER(CO19),INDEX('1.Locations'!K2:K32,CO19 + 1)," ")," ")</f>
        <v xml:space="preserve"> </v>
      </c>
      <c r="CZ19" s="67" t="str">
        <f ca="1">IFERROR(IF(ISNUMBER(CO19),SUM(CX5:CX19) + SUM(CY20:CY36)," ")," ")</f>
        <v xml:space="preserve"> </v>
      </c>
      <c r="DB19" s="17">
        <v>14</v>
      </c>
      <c r="DC19" s="21"/>
      <c r="DD19" s="67" t="str">
        <f ca="1">IFERROR(MATCH(INDIRECT("DC19"),'1.Locations'!B2:B32, 0) - 1," ")</f>
        <v xml:space="preserve"> </v>
      </c>
      <c r="DE19" s="67" t="e">
        <f ca="1">IFERROR(IF(ISNUMBER(DD19),INDEX('1.Locations'!D2:D32,DD19 + 1),NA()),NA())</f>
        <v>#N/A</v>
      </c>
      <c r="DF19" s="67" t="e">
        <f ca="1">IFERROR(IF(ISNUMBER(DD19),INDEX('1.Locations'!E2:E32,DD19 + 1),NA()),NA())</f>
        <v>#N/A</v>
      </c>
      <c r="DG19" s="68" t="str">
        <f ca="1">IFERROR(IF(ISNUMBER(DD19),INDEX('2.Distances'!C2:C962,DD18*31+DD19+ 1) +DG18," ")," ")</f>
        <v xml:space="preserve"> </v>
      </c>
      <c r="DH19" s="69" t="str">
        <f ca="1">IFERROR(IF(ISNUMBER(DD19),INDEX('2.Distances'!D2:D962,DD18*31+DD19 + 1) +DH18," ")," ")</f>
        <v xml:space="preserve"> </v>
      </c>
      <c r="DI19" s="70" t="str">
        <f ca="1">IFERROR(IF(ISNUMBER(DD19),INDEX('2.Distances'!D2:D962,DD18*31+DD19 + 1) +DJ18," ")," ")</f>
        <v xml:space="preserve"> </v>
      </c>
      <c r="DJ19" s="70" t="str">
        <f ca="1">IFERROR(IF(AND(DD5&lt;&gt;DD19,ISNUMBER(DI19)),INDEX('1.Locations'!I2:I32,DD19 + 1) + MAX(DI19,INDEX('1.Locations'!F2:F32,DD19 + 1))," ")," ")</f>
        <v xml:space="preserve"> </v>
      </c>
      <c r="DK19" s="69" t="str">
        <f ca="1">IFERROR(IF(DD5 = DD19, DI19 - DJ5, DJ19 - DJ5)," ")</f>
        <v xml:space="preserve"> </v>
      </c>
      <c r="DL19" s="67" t="str">
        <f ca="1">IFERROR(IF(ISNUMBER(DD19),INDEX('1.Locations'!L2:L32,DD19 + 1) + DL18," ")," ")</f>
        <v xml:space="preserve"> </v>
      </c>
      <c r="DM19" s="67" t="str">
        <f ca="1">IFERROR(IF(ISNUMBER(DD19),INDEX('1.Locations'!J2:J32,DD19 + 1)," ")," ")</f>
        <v xml:space="preserve"> </v>
      </c>
      <c r="DN19" s="67" t="str">
        <f ca="1">IFERROR(IF(ISNUMBER(DD19),INDEX('1.Locations'!K2:K32,DD19 + 1)," ")," ")</f>
        <v xml:space="preserve"> </v>
      </c>
      <c r="DO19" s="67" t="str">
        <f ca="1">IFERROR(IF(ISNUMBER(DD19),SUM(DM5:DM19) + SUM(DN20:DN36)," ")," ")</f>
        <v xml:space="preserve"> </v>
      </c>
      <c r="DQ19" s="17">
        <v>14</v>
      </c>
      <c r="DR19" s="21"/>
      <c r="DS19" s="67" t="str">
        <f ca="1">IFERROR(MATCH(INDIRECT("DR19"),'1.Locations'!B2:B32, 0) - 1," ")</f>
        <v xml:space="preserve"> </v>
      </c>
      <c r="DT19" s="67" t="e">
        <f ca="1">IFERROR(IF(ISNUMBER(DS19),INDEX('1.Locations'!D2:D32,DS19 + 1),NA()),NA())</f>
        <v>#N/A</v>
      </c>
      <c r="DU19" s="67" t="e">
        <f ca="1">IFERROR(IF(ISNUMBER(DS19),INDEX('1.Locations'!E2:E32,DS19 + 1),NA()),NA())</f>
        <v>#N/A</v>
      </c>
      <c r="DV19" s="68" t="str">
        <f ca="1">IFERROR(IF(ISNUMBER(DS19),INDEX('2.Distances'!C2:C962,DS18*31+DS19+ 1) +DV18," ")," ")</f>
        <v xml:space="preserve"> </v>
      </c>
      <c r="DW19" s="69" t="str">
        <f ca="1">IFERROR(IF(ISNUMBER(DS19),INDEX('2.Distances'!D2:D962,DS18*31+DS19 + 1) +DW18," ")," ")</f>
        <v xml:space="preserve"> </v>
      </c>
      <c r="DX19" s="70" t="str">
        <f ca="1">IFERROR(IF(ISNUMBER(DS19),INDEX('2.Distances'!D2:D962,DS18*31+DS19 + 1) +DY18," ")," ")</f>
        <v xml:space="preserve"> </v>
      </c>
      <c r="DY19" s="70" t="str">
        <f ca="1">IFERROR(IF(AND(DS5&lt;&gt;DS19,ISNUMBER(DX19)),INDEX('1.Locations'!I2:I32,DS19 + 1) + MAX(DX19,INDEX('1.Locations'!F2:F32,DS19 + 1))," ")," ")</f>
        <v xml:space="preserve"> </v>
      </c>
      <c r="DZ19" s="69" t="str">
        <f ca="1">IFERROR(IF(DS5 = DS19, DX19 - DY5, DY19 - DY5)," ")</f>
        <v xml:space="preserve"> </v>
      </c>
      <c r="EA19" s="67" t="str">
        <f ca="1">IFERROR(IF(ISNUMBER(DS19),INDEX('1.Locations'!L2:L32,DS19 + 1) + EA18," ")," ")</f>
        <v xml:space="preserve"> </v>
      </c>
      <c r="EB19" s="67" t="str">
        <f ca="1">IFERROR(IF(ISNUMBER(DS19),INDEX('1.Locations'!J2:J32,DS19 + 1)," ")," ")</f>
        <v xml:space="preserve"> </v>
      </c>
      <c r="EC19" s="67" t="str">
        <f ca="1">IFERROR(IF(ISNUMBER(DS19),INDEX('1.Locations'!K2:K32,DS19 + 1)," ")," ")</f>
        <v xml:space="preserve"> </v>
      </c>
      <c r="ED19" s="67" t="str">
        <f ca="1">IFERROR(IF(ISNUMBER(DS19),SUM(EB5:EB19) + SUM(EC20:EC36)," ")," ")</f>
        <v xml:space="preserve"> </v>
      </c>
      <c r="EF19" s="17">
        <v>14</v>
      </c>
      <c r="EG19" s="21"/>
      <c r="EH19" s="67" t="str">
        <f ca="1">IFERROR(MATCH(INDIRECT("EG19"),'1.Locations'!B2:B32, 0) - 1," ")</f>
        <v xml:space="preserve"> </v>
      </c>
      <c r="EI19" s="67" t="e">
        <f ca="1">IFERROR(IF(ISNUMBER(EH19),INDEX('1.Locations'!D2:D32,EH19 + 1),NA()),NA())</f>
        <v>#N/A</v>
      </c>
      <c r="EJ19" s="67" t="e">
        <f ca="1">IFERROR(IF(ISNUMBER(EH19),INDEX('1.Locations'!E2:E32,EH19 + 1),NA()),NA())</f>
        <v>#N/A</v>
      </c>
      <c r="EK19" s="68" t="str">
        <f ca="1">IFERROR(IF(ISNUMBER(EH19),INDEX('2.Distances'!C2:C962,EH18*31+EH19+ 1) +EK18," ")," ")</f>
        <v xml:space="preserve"> </v>
      </c>
      <c r="EL19" s="69" t="str">
        <f ca="1">IFERROR(IF(ISNUMBER(EH19),INDEX('2.Distances'!D2:D962,EH18*31+EH19 + 1) +EL18," ")," ")</f>
        <v xml:space="preserve"> </v>
      </c>
      <c r="EM19" s="70" t="str">
        <f ca="1">IFERROR(IF(ISNUMBER(EH19),INDEX('2.Distances'!D2:D962,EH18*31+EH19 + 1) +EN18," ")," ")</f>
        <v xml:space="preserve"> </v>
      </c>
      <c r="EN19" s="70" t="str">
        <f ca="1">IFERROR(IF(AND(EH5&lt;&gt;EH19,ISNUMBER(EM19)),INDEX('1.Locations'!I2:I32,EH19 + 1) + MAX(EM19,INDEX('1.Locations'!F2:F32,EH19 + 1))," ")," ")</f>
        <v xml:space="preserve"> </v>
      </c>
      <c r="EO19" s="69" t="str">
        <f ca="1">IFERROR(IF(EH5 = EH19, EM19 - EN5, EN19 - EN5)," ")</f>
        <v xml:space="preserve"> </v>
      </c>
      <c r="EP19" s="67" t="str">
        <f ca="1">IFERROR(IF(ISNUMBER(EH19),INDEX('1.Locations'!L2:L32,EH19 + 1) + EP18," ")," ")</f>
        <v xml:space="preserve"> </v>
      </c>
      <c r="EQ19" s="67" t="str">
        <f ca="1">IFERROR(IF(ISNUMBER(EH19),INDEX('1.Locations'!J2:J32,EH19 + 1)," ")," ")</f>
        <v xml:space="preserve"> </v>
      </c>
      <c r="ER19" s="67" t="str">
        <f ca="1">IFERROR(IF(ISNUMBER(EH19),INDEX('1.Locations'!K2:K32,EH19 + 1)," ")," ")</f>
        <v xml:space="preserve"> </v>
      </c>
      <c r="ES19" s="67" t="str">
        <f ca="1">IFERROR(IF(ISNUMBER(EH19),SUM(EQ5:EQ19) + SUM(ER20:ER36)," ")," ")</f>
        <v xml:space="preserve"> </v>
      </c>
    </row>
    <row r="20" spans="1:149" x14ac:dyDescent="0.25">
      <c r="A20" s="17">
        <v>15</v>
      </c>
      <c r="B20" s="18"/>
      <c r="C20" s="67" t="str">
        <f ca="1">IFERROR(MATCH(INDIRECT("B20"),'1.Locations'!B2:B32, 0) - 1," ")</f>
        <v xml:space="preserve"> </v>
      </c>
      <c r="D20" s="67" t="e">
        <f ca="1">IFERROR(IF(ISNUMBER(C20),INDEX('1.Locations'!D2:D32,C20 + 1),NA()),NA())</f>
        <v>#N/A</v>
      </c>
      <c r="E20" s="67" t="e">
        <f ca="1">IFERROR(IF(ISNUMBER(C20),INDEX('1.Locations'!E2:E32,C20 + 1),NA()),NA())</f>
        <v>#N/A</v>
      </c>
      <c r="F20" s="68" t="str">
        <f ca="1">IFERROR(IF(ISNUMBER(C20),INDEX('2.Distances'!C2:C962,C19*31+C20+ 1) +F19," ")," ")</f>
        <v xml:space="preserve"> </v>
      </c>
      <c r="G20" s="69" t="str">
        <f ca="1">IFERROR(IF(ISNUMBER(C20),INDEX('2.Distances'!D2:D962,C19*31+C20 + 1) +G19," ")," ")</f>
        <v xml:space="preserve"> </v>
      </c>
      <c r="H20" s="70" t="str">
        <f ca="1">IFERROR(IF(ISNUMBER(C20),INDEX('2.Distances'!D2:D962,C19*31+C20 + 1) +I19," ")," ")</f>
        <v xml:space="preserve"> </v>
      </c>
      <c r="I20" s="70" t="str">
        <f ca="1">IFERROR(IF(AND(C5&lt;&gt;C20,ISNUMBER(H20)),INDEX('1.Locations'!I2:I32,C20 + 1) + MAX(H20,INDEX('1.Locations'!F2:F32,C20 + 1))," ")," ")</f>
        <v xml:space="preserve"> </v>
      </c>
      <c r="J20" s="69" t="str">
        <f ca="1">IFERROR(IF(C5 = C20, H20 - I5, I20 - I5)," ")</f>
        <v xml:space="preserve"> </v>
      </c>
      <c r="K20" s="67" t="str">
        <f ca="1">IFERROR(IF(ISNUMBER(C20),INDEX('1.Locations'!L2:L32,C20 + 1) + K19," ")," ")</f>
        <v xml:space="preserve"> </v>
      </c>
      <c r="L20" s="67" t="str">
        <f ca="1">IFERROR(IF(ISNUMBER(C20),INDEX('1.Locations'!J2:J32,C20 + 1)," ")," ")</f>
        <v xml:space="preserve"> </v>
      </c>
      <c r="M20" s="67" t="str">
        <f ca="1">IFERROR(IF(ISNUMBER(C20),INDEX('1.Locations'!K2:K32,C20 + 1)," ")," ")</f>
        <v xml:space="preserve"> </v>
      </c>
      <c r="N20" s="67" t="str">
        <f ca="1">IFERROR(IF(ISNUMBER(C20),SUM(L5:L20) + SUM(M21:M36)," ")," ")</f>
        <v xml:space="preserve"> </v>
      </c>
      <c r="P20" s="17">
        <v>15</v>
      </c>
      <c r="Q20" s="18"/>
      <c r="R20" s="67" t="str">
        <f ca="1">IFERROR(MATCH(INDIRECT("Q20"),'1.Locations'!B2:B32, 0) - 1," ")</f>
        <v xml:space="preserve"> </v>
      </c>
      <c r="S20" s="67" t="e">
        <f ca="1">IFERROR(IF(ISNUMBER(R20),INDEX('1.Locations'!D2:D32,R20 + 1),NA()),NA())</f>
        <v>#N/A</v>
      </c>
      <c r="T20" s="67" t="e">
        <f ca="1">IFERROR(IF(ISNUMBER(R20),INDEX('1.Locations'!E2:E32,R20 + 1),NA()),NA())</f>
        <v>#N/A</v>
      </c>
      <c r="U20" s="68" t="str">
        <f ca="1">IFERROR(IF(ISNUMBER(R20),INDEX('2.Distances'!C2:C962,R19*31+R20+ 1) +U19," ")," ")</f>
        <v xml:space="preserve"> </v>
      </c>
      <c r="V20" s="69" t="str">
        <f ca="1">IFERROR(IF(ISNUMBER(R20),INDEX('2.Distances'!D2:D962,R19*31+R20 + 1) +V19," ")," ")</f>
        <v xml:space="preserve"> </v>
      </c>
      <c r="W20" s="70" t="str">
        <f ca="1">IFERROR(IF(ISNUMBER(R20),INDEX('2.Distances'!D2:D962,R19*31+R20 + 1) +X19," ")," ")</f>
        <v xml:space="preserve"> </v>
      </c>
      <c r="X20" s="70" t="str">
        <f ca="1">IFERROR(IF(AND(R5&lt;&gt;R20,ISNUMBER(W20)),INDEX('1.Locations'!I2:I32,R20 + 1) + MAX(W20,INDEX('1.Locations'!F2:F32,R20 + 1))," ")," ")</f>
        <v xml:space="preserve"> </v>
      </c>
      <c r="Y20" s="69" t="str">
        <f ca="1">IFERROR(IF(R5 = R20, W20 - X5, X20 - X5)," ")</f>
        <v xml:space="preserve"> </v>
      </c>
      <c r="Z20" s="67" t="str">
        <f ca="1">IFERROR(IF(ISNUMBER(R20),INDEX('1.Locations'!L2:L32,R20 + 1) + Z19," ")," ")</f>
        <v xml:space="preserve"> </v>
      </c>
      <c r="AA20" s="67" t="str">
        <f ca="1">IFERROR(IF(ISNUMBER(R20),INDEX('1.Locations'!J2:J32,R20 + 1)," ")," ")</f>
        <v xml:space="preserve"> </v>
      </c>
      <c r="AB20" s="67" t="str">
        <f ca="1">IFERROR(IF(ISNUMBER(R20),INDEX('1.Locations'!K2:K32,R20 + 1)," ")," ")</f>
        <v xml:space="preserve"> </v>
      </c>
      <c r="AC20" s="67" t="str">
        <f ca="1">IFERROR(IF(ISNUMBER(R20),SUM(AA5:AA20) + SUM(AB21:AB36)," ")," ")</f>
        <v xml:space="preserve"> </v>
      </c>
      <c r="AE20" s="17">
        <v>15</v>
      </c>
      <c r="AF20" s="18"/>
      <c r="AG20" s="67" t="str">
        <f ca="1">IFERROR(MATCH(INDIRECT("AF20"),'1.Locations'!B2:B32, 0) - 1," ")</f>
        <v xml:space="preserve"> </v>
      </c>
      <c r="AH20" s="67" t="e">
        <f ca="1">IFERROR(IF(ISNUMBER(AG20),INDEX('1.Locations'!D2:D32,AG20 + 1),NA()),NA())</f>
        <v>#N/A</v>
      </c>
      <c r="AI20" s="67" t="e">
        <f ca="1">IFERROR(IF(ISNUMBER(AG20),INDEX('1.Locations'!E2:E32,AG20 + 1),NA()),NA())</f>
        <v>#N/A</v>
      </c>
      <c r="AJ20" s="68" t="str">
        <f ca="1">IFERROR(IF(ISNUMBER(AG20),INDEX('2.Distances'!C2:C962,AG19*31+AG20+ 1) +AJ19," ")," ")</f>
        <v xml:space="preserve"> </v>
      </c>
      <c r="AK20" s="69" t="str">
        <f ca="1">IFERROR(IF(ISNUMBER(AG20),INDEX('2.Distances'!D2:D962,AG19*31+AG20 + 1) +AK19," ")," ")</f>
        <v xml:space="preserve"> </v>
      </c>
      <c r="AL20" s="70" t="str">
        <f ca="1">IFERROR(IF(ISNUMBER(AG20),INDEX('2.Distances'!D2:D962,AG19*31+AG20 + 1) +AM19," ")," ")</f>
        <v xml:space="preserve"> </v>
      </c>
      <c r="AM20" s="70" t="str">
        <f ca="1">IFERROR(IF(AND(AG5&lt;&gt;AG20,ISNUMBER(AL20)),INDEX('1.Locations'!I2:I32,AG20 + 1) + MAX(AL20,INDEX('1.Locations'!F2:F32,AG20 + 1))," ")," ")</f>
        <v xml:space="preserve"> </v>
      </c>
      <c r="AN20" s="69" t="str">
        <f ca="1">IFERROR(IF(AG5 = AG20, AL20 - AM5, AM20 - AM5)," ")</f>
        <v xml:space="preserve"> </v>
      </c>
      <c r="AO20" s="67" t="str">
        <f ca="1">IFERROR(IF(ISNUMBER(AG20),INDEX('1.Locations'!L2:L32,AG20 + 1) + AO19," ")," ")</f>
        <v xml:space="preserve"> </v>
      </c>
      <c r="AP20" s="67" t="str">
        <f ca="1">IFERROR(IF(ISNUMBER(AG20),INDEX('1.Locations'!J2:J32,AG20 + 1)," ")," ")</f>
        <v xml:space="preserve"> </v>
      </c>
      <c r="AQ20" s="67" t="str">
        <f ca="1">IFERROR(IF(ISNUMBER(AG20),INDEX('1.Locations'!K2:K32,AG20 + 1)," ")," ")</f>
        <v xml:space="preserve"> </v>
      </c>
      <c r="AR20" s="67" t="str">
        <f ca="1">IFERROR(IF(ISNUMBER(AG20),SUM(AP5:AP20) + SUM(AQ21:AQ36)," ")," ")</f>
        <v xml:space="preserve"> </v>
      </c>
      <c r="AT20" s="17">
        <v>15</v>
      </c>
      <c r="AU20" s="18"/>
      <c r="AV20" s="67" t="str">
        <f ca="1">IFERROR(MATCH(INDIRECT("AU20"),'1.Locations'!B2:B32, 0) - 1," ")</f>
        <v xml:space="preserve"> </v>
      </c>
      <c r="AW20" s="67" t="e">
        <f ca="1">IFERROR(IF(ISNUMBER(AV20),INDEX('1.Locations'!D2:D32,AV20 + 1),NA()),NA())</f>
        <v>#N/A</v>
      </c>
      <c r="AX20" s="67" t="e">
        <f ca="1">IFERROR(IF(ISNUMBER(AV20),INDEX('1.Locations'!E2:E32,AV20 + 1),NA()),NA())</f>
        <v>#N/A</v>
      </c>
      <c r="AY20" s="68" t="str">
        <f ca="1">IFERROR(IF(ISNUMBER(AV20),INDEX('2.Distances'!C2:C962,AV19*31+AV20+ 1) +AY19," ")," ")</f>
        <v xml:space="preserve"> </v>
      </c>
      <c r="AZ20" s="69" t="str">
        <f ca="1">IFERROR(IF(ISNUMBER(AV20),INDEX('2.Distances'!D2:D962,AV19*31+AV20 + 1) +AZ19," ")," ")</f>
        <v xml:space="preserve"> </v>
      </c>
      <c r="BA20" s="70" t="str">
        <f ca="1">IFERROR(IF(ISNUMBER(AV20),INDEX('2.Distances'!D2:D962,AV19*31+AV20 + 1) +BB19," ")," ")</f>
        <v xml:space="preserve"> </v>
      </c>
      <c r="BB20" s="70" t="str">
        <f ca="1">IFERROR(IF(AND(AV5&lt;&gt;AV20,ISNUMBER(BA20)),INDEX('1.Locations'!I2:I32,AV20 + 1) + MAX(BA20,INDEX('1.Locations'!F2:F32,AV20 + 1))," ")," ")</f>
        <v xml:space="preserve"> </v>
      </c>
      <c r="BC20" s="69" t="str">
        <f ca="1">IFERROR(IF(AV5 = AV20, BA20 - BB5, BB20 - BB5)," ")</f>
        <v xml:space="preserve"> </v>
      </c>
      <c r="BD20" s="67" t="str">
        <f ca="1">IFERROR(IF(ISNUMBER(AV20),INDEX('1.Locations'!L2:L32,AV20 + 1) + BD19," ")," ")</f>
        <v xml:space="preserve"> </v>
      </c>
      <c r="BE20" s="67" t="str">
        <f ca="1">IFERROR(IF(ISNUMBER(AV20),INDEX('1.Locations'!J2:J32,AV20 + 1)," ")," ")</f>
        <v xml:space="preserve"> </v>
      </c>
      <c r="BF20" s="67" t="str">
        <f ca="1">IFERROR(IF(ISNUMBER(AV20),INDEX('1.Locations'!K2:K32,AV20 + 1)," ")," ")</f>
        <v xml:space="preserve"> </v>
      </c>
      <c r="BG20" s="67" t="str">
        <f ca="1">IFERROR(IF(ISNUMBER(AV20),SUM(BE5:BE20) + SUM(BF21:BF36)," ")," ")</f>
        <v xml:space="preserve"> </v>
      </c>
      <c r="BI20" s="17">
        <v>15</v>
      </c>
      <c r="BJ20" s="18"/>
      <c r="BK20" s="67" t="str">
        <f ca="1">IFERROR(MATCH(INDIRECT("BJ20"),'1.Locations'!B2:B32, 0) - 1," ")</f>
        <v xml:space="preserve"> </v>
      </c>
      <c r="BL20" s="67" t="e">
        <f ca="1">IFERROR(IF(ISNUMBER(BK20),INDEX('1.Locations'!D2:D32,BK20 + 1),NA()),NA())</f>
        <v>#N/A</v>
      </c>
      <c r="BM20" s="67" t="e">
        <f ca="1">IFERROR(IF(ISNUMBER(BK20),INDEX('1.Locations'!E2:E32,BK20 + 1),NA()),NA())</f>
        <v>#N/A</v>
      </c>
      <c r="BN20" s="68" t="str">
        <f ca="1">IFERROR(IF(ISNUMBER(BK20),INDEX('2.Distances'!C2:C962,BK19*31+BK20+ 1) +BN19," ")," ")</f>
        <v xml:space="preserve"> </v>
      </c>
      <c r="BO20" s="69" t="str">
        <f ca="1">IFERROR(IF(ISNUMBER(BK20),INDEX('2.Distances'!D2:D962,BK19*31+BK20 + 1) +BO19," ")," ")</f>
        <v xml:space="preserve"> </v>
      </c>
      <c r="BP20" s="70" t="str">
        <f ca="1">IFERROR(IF(ISNUMBER(BK20),INDEX('2.Distances'!D2:D962,BK19*31+BK20 + 1) +BQ19," ")," ")</f>
        <v xml:space="preserve"> </v>
      </c>
      <c r="BQ20" s="70" t="str">
        <f ca="1">IFERROR(IF(AND(BK5&lt;&gt;BK20,ISNUMBER(BP20)),INDEX('1.Locations'!I2:I32,BK20 + 1) + MAX(BP20,INDEX('1.Locations'!F2:F32,BK20 + 1))," ")," ")</f>
        <v xml:space="preserve"> </v>
      </c>
      <c r="BR20" s="69" t="str">
        <f ca="1">IFERROR(IF(BK5 = BK20, BP20 - BQ5, BQ20 - BQ5)," ")</f>
        <v xml:space="preserve"> </v>
      </c>
      <c r="BS20" s="67" t="str">
        <f ca="1">IFERROR(IF(ISNUMBER(BK20),INDEX('1.Locations'!L2:L32,BK20 + 1) + BS19," ")," ")</f>
        <v xml:space="preserve"> </v>
      </c>
      <c r="BT20" s="67" t="str">
        <f ca="1">IFERROR(IF(ISNUMBER(BK20),INDEX('1.Locations'!J2:J32,BK20 + 1)," ")," ")</f>
        <v xml:space="preserve"> </v>
      </c>
      <c r="BU20" s="67" t="str">
        <f ca="1">IFERROR(IF(ISNUMBER(BK20),INDEX('1.Locations'!K2:K32,BK20 + 1)," ")," ")</f>
        <v xml:space="preserve"> </v>
      </c>
      <c r="BV20" s="67" t="str">
        <f ca="1">IFERROR(IF(ISNUMBER(BK20),SUM(BT5:BT20) + SUM(BU21:BU36)," ")," ")</f>
        <v xml:space="preserve"> </v>
      </c>
      <c r="BX20" s="17">
        <v>15</v>
      </c>
      <c r="BY20" s="18"/>
      <c r="BZ20" s="67" t="str">
        <f ca="1">IFERROR(MATCH(INDIRECT("BY20"),'1.Locations'!B2:B32, 0) - 1," ")</f>
        <v xml:space="preserve"> </v>
      </c>
      <c r="CA20" s="67" t="e">
        <f ca="1">IFERROR(IF(ISNUMBER(BZ20),INDEX('1.Locations'!D2:D32,BZ20 + 1),NA()),NA())</f>
        <v>#N/A</v>
      </c>
      <c r="CB20" s="67" t="e">
        <f ca="1">IFERROR(IF(ISNUMBER(BZ20),INDEX('1.Locations'!E2:E32,BZ20 + 1),NA()),NA())</f>
        <v>#N/A</v>
      </c>
      <c r="CC20" s="68" t="str">
        <f ca="1">IFERROR(IF(ISNUMBER(BZ20),INDEX('2.Distances'!C2:C962,BZ19*31+BZ20+ 1) +CC19," ")," ")</f>
        <v xml:space="preserve"> </v>
      </c>
      <c r="CD20" s="69" t="str">
        <f ca="1">IFERROR(IF(ISNUMBER(BZ20),INDEX('2.Distances'!D2:D962,BZ19*31+BZ20 + 1) +CD19," ")," ")</f>
        <v xml:space="preserve"> </v>
      </c>
      <c r="CE20" s="70" t="str">
        <f ca="1">IFERROR(IF(ISNUMBER(BZ20),INDEX('2.Distances'!D2:D962,BZ19*31+BZ20 + 1) +CF19," ")," ")</f>
        <v xml:space="preserve"> </v>
      </c>
      <c r="CF20" s="70" t="str">
        <f ca="1">IFERROR(IF(AND(BZ5&lt;&gt;BZ20,ISNUMBER(CE20)),INDEX('1.Locations'!I2:I32,BZ20 + 1) + MAX(CE20,INDEX('1.Locations'!F2:F32,BZ20 + 1))," ")," ")</f>
        <v xml:space="preserve"> </v>
      </c>
      <c r="CG20" s="69" t="str">
        <f ca="1">IFERROR(IF(BZ5 = BZ20, CE20 - CF5, CF20 - CF5)," ")</f>
        <v xml:space="preserve"> </v>
      </c>
      <c r="CH20" s="67" t="str">
        <f ca="1">IFERROR(IF(ISNUMBER(BZ20),INDEX('1.Locations'!L2:L32,BZ20 + 1) + CH19," ")," ")</f>
        <v xml:space="preserve"> </v>
      </c>
      <c r="CI20" s="67" t="str">
        <f ca="1">IFERROR(IF(ISNUMBER(BZ20),INDEX('1.Locations'!J2:J32,BZ20 + 1)," ")," ")</f>
        <v xml:space="preserve"> </v>
      </c>
      <c r="CJ20" s="67" t="str">
        <f ca="1">IFERROR(IF(ISNUMBER(BZ20),INDEX('1.Locations'!K2:K32,BZ20 + 1)," ")," ")</f>
        <v xml:space="preserve"> </v>
      </c>
      <c r="CK20" s="67" t="str">
        <f ca="1">IFERROR(IF(ISNUMBER(BZ20),SUM(CI5:CI20) + SUM(CJ21:CJ36)," ")," ")</f>
        <v xml:space="preserve"> </v>
      </c>
      <c r="CM20" s="17">
        <v>15</v>
      </c>
      <c r="CN20" s="18"/>
      <c r="CO20" s="67" t="str">
        <f ca="1">IFERROR(MATCH(INDIRECT("CN20"),'1.Locations'!B2:B32, 0) - 1," ")</f>
        <v xml:space="preserve"> </v>
      </c>
      <c r="CP20" s="67" t="e">
        <f ca="1">IFERROR(IF(ISNUMBER(CO20),INDEX('1.Locations'!D2:D32,CO20 + 1),NA()),NA())</f>
        <v>#N/A</v>
      </c>
      <c r="CQ20" s="67" t="e">
        <f ca="1">IFERROR(IF(ISNUMBER(CO20),INDEX('1.Locations'!E2:E32,CO20 + 1),NA()),NA())</f>
        <v>#N/A</v>
      </c>
      <c r="CR20" s="68" t="str">
        <f ca="1">IFERROR(IF(ISNUMBER(CO20),INDEX('2.Distances'!C2:C962,CO19*31+CO20+ 1) +CR19," ")," ")</f>
        <v xml:space="preserve"> </v>
      </c>
      <c r="CS20" s="69" t="str">
        <f ca="1">IFERROR(IF(ISNUMBER(CO20),INDEX('2.Distances'!D2:D962,CO19*31+CO20 + 1) +CS19," ")," ")</f>
        <v xml:space="preserve"> </v>
      </c>
      <c r="CT20" s="70" t="str">
        <f ca="1">IFERROR(IF(ISNUMBER(CO20),INDEX('2.Distances'!D2:D962,CO19*31+CO20 + 1) +CU19," ")," ")</f>
        <v xml:space="preserve"> </v>
      </c>
      <c r="CU20" s="70" t="str">
        <f ca="1">IFERROR(IF(AND(CO5&lt;&gt;CO20,ISNUMBER(CT20)),INDEX('1.Locations'!I2:I32,CO20 + 1) + MAX(CT20,INDEX('1.Locations'!F2:F32,CO20 + 1))," ")," ")</f>
        <v xml:space="preserve"> </v>
      </c>
      <c r="CV20" s="69" t="str">
        <f ca="1">IFERROR(IF(CO5 = CO20, CT20 - CU5, CU20 - CU5)," ")</f>
        <v xml:space="preserve"> </v>
      </c>
      <c r="CW20" s="67" t="str">
        <f ca="1">IFERROR(IF(ISNUMBER(CO20),INDEX('1.Locations'!L2:L32,CO20 + 1) + CW19," ")," ")</f>
        <v xml:space="preserve"> </v>
      </c>
      <c r="CX20" s="67" t="str">
        <f ca="1">IFERROR(IF(ISNUMBER(CO20),INDEX('1.Locations'!J2:J32,CO20 + 1)," ")," ")</f>
        <v xml:space="preserve"> </v>
      </c>
      <c r="CY20" s="67" t="str">
        <f ca="1">IFERROR(IF(ISNUMBER(CO20),INDEX('1.Locations'!K2:K32,CO20 + 1)," ")," ")</f>
        <v xml:space="preserve"> </v>
      </c>
      <c r="CZ20" s="67" t="str">
        <f ca="1">IFERROR(IF(ISNUMBER(CO20),SUM(CX5:CX20) + SUM(CY21:CY36)," ")," ")</f>
        <v xml:space="preserve"> </v>
      </c>
      <c r="DB20" s="17">
        <v>15</v>
      </c>
      <c r="DC20" s="18"/>
      <c r="DD20" s="67" t="str">
        <f ca="1">IFERROR(MATCH(INDIRECT("DC20"),'1.Locations'!B2:B32, 0) - 1," ")</f>
        <v xml:space="preserve"> </v>
      </c>
      <c r="DE20" s="67" t="e">
        <f ca="1">IFERROR(IF(ISNUMBER(DD20),INDEX('1.Locations'!D2:D32,DD20 + 1),NA()),NA())</f>
        <v>#N/A</v>
      </c>
      <c r="DF20" s="67" t="e">
        <f ca="1">IFERROR(IF(ISNUMBER(DD20),INDEX('1.Locations'!E2:E32,DD20 + 1),NA()),NA())</f>
        <v>#N/A</v>
      </c>
      <c r="DG20" s="68" t="str">
        <f ca="1">IFERROR(IF(ISNUMBER(DD20),INDEX('2.Distances'!C2:C962,DD19*31+DD20+ 1) +DG19," ")," ")</f>
        <v xml:space="preserve"> </v>
      </c>
      <c r="DH20" s="69" t="str">
        <f ca="1">IFERROR(IF(ISNUMBER(DD20),INDEX('2.Distances'!D2:D962,DD19*31+DD20 + 1) +DH19," ")," ")</f>
        <v xml:space="preserve"> </v>
      </c>
      <c r="DI20" s="70" t="str">
        <f ca="1">IFERROR(IF(ISNUMBER(DD20),INDEX('2.Distances'!D2:D962,DD19*31+DD20 + 1) +DJ19," ")," ")</f>
        <v xml:space="preserve"> </v>
      </c>
      <c r="DJ20" s="70" t="str">
        <f ca="1">IFERROR(IF(AND(DD5&lt;&gt;DD20,ISNUMBER(DI20)),INDEX('1.Locations'!I2:I32,DD20 + 1) + MAX(DI20,INDEX('1.Locations'!F2:F32,DD20 + 1))," ")," ")</f>
        <v xml:space="preserve"> </v>
      </c>
      <c r="DK20" s="69" t="str">
        <f ca="1">IFERROR(IF(DD5 = DD20, DI20 - DJ5, DJ20 - DJ5)," ")</f>
        <v xml:space="preserve"> </v>
      </c>
      <c r="DL20" s="67" t="str">
        <f ca="1">IFERROR(IF(ISNUMBER(DD20),INDEX('1.Locations'!L2:L32,DD20 + 1) + DL19," ")," ")</f>
        <v xml:space="preserve"> </v>
      </c>
      <c r="DM20" s="67" t="str">
        <f ca="1">IFERROR(IF(ISNUMBER(DD20),INDEX('1.Locations'!J2:J32,DD20 + 1)," ")," ")</f>
        <v xml:space="preserve"> </v>
      </c>
      <c r="DN20" s="67" t="str">
        <f ca="1">IFERROR(IF(ISNUMBER(DD20),INDEX('1.Locations'!K2:K32,DD20 + 1)," ")," ")</f>
        <v xml:space="preserve"> </v>
      </c>
      <c r="DO20" s="67" t="str">
        <f ca="1">IFERROR(IF(ISNUMBER(DD20),SUM(DM5:DM20) + SUM(DN21:DN36)," ")," ")</f>
        <v xml:space="preserve"> </v>
      </c>
      <c r="DQ20" s="17">
        <v>15</v>
      </c>
      <c r="DR20" s="18"/>
      <c r="DS20" s="67" t="str">
        <f ca="1">IFERROR(MATCH(INDIRECT("DR20"),'1.Locations'!B2:B32, 0) - 1," ")</f>
        <v xml:space="preserve"> </v>
      </c>
      <c r="DT20" s="67" t="e">
        <f ca="1">IFERROR(IF(ISNUMBER(DS20),INDEX('1.Locations'!D2:D32,DS20 + 1),NA()),NA())</f>
        <v>#N/A</v>
      </c>
      <c r="DU20" s="67" t="e">
        <f ca="1">IFERROR(IF(ISNUMBER(DS20),INDEX('1.Locations'!E2:E32,DS20 + 1),NA()),NA())</f>
        <v>#N/A</v>
      </c>
      <c r="DV20" s="68" t="str">
        <f ca="1">IFERROR(IF(ISNUMBER(DS20),INDEX('2.Distances'!C2:C962,DS19*31+DS20+ 1) +DV19," ")," ")</f>
        <v xml:space="preserve"> </v>
      </c>
      <c r="DW20" s="69" t="str">
        <f ca="1">IFERROR(IF(ISNUMBER(DS20),INDEX('2.Distances'!D2:D962,DS19*31+DS20 + 1) +DW19," ")," ")</f>
        <v xml:space="preserve"> </v>
      </c>
      <c r="DX20" s="70" t="str">
        <f ca="1">IFERROR(IF(ISNUMBER(DS20),INDEX('2.Distances'!D2:D962,DS19*31+DS20 + 1) +DY19," ")," ")</f>
        <v xml:space="preserve"> </v>
      </c>
      <c r="DY20" s="70" t="str">
        <f ca="1">IFERROR(IF(AND(DS5&lt;&gt;DS20,ISNUMBER(DX20)),INDEX('1.Locations'!I2:I32,DS20 + 1) + MAX(DX20,INDEX('1.Locations'!F2:F32,DS20 + 1))," ")," ")</f>
        <v xml:space="preserve"> </v>
      </c>
      <c r="DZ20" s="69" t="str">
        <f ca="1">IFERROR(IF(DS5 = DS20, DX20 - DY5, DY20 - DY5)," ")</f>
        <v xml:space="preserve"> </v>
      </c>
      <c r="EA20" s="67" t="str">
        <f ca="1">IFERROR(IF(ISNUMBER(DS20),INDEX('1.Locations'!L2:L32,DS20 + 1) + EA19," ")," ")</f>
        <v xml:space="preserve"> </v>
      </c>
      <c r="EB20" s="67" t="str">
        <f ca="1">IFERROR(IF(ISNUMBER(DS20),INDEX('1.Locations'!J2:J32,DS20 + 1)," ")," ")</f>
        <v xml:space="preserve"> </v>
      </c>
      <c r="EC20" s="67" t="str">
        <f ca="1">IFERROR(IF(ISNUMBER(DS20),INDEX('1.Locations'!K2:K32,DS20 + 1)," ")," ")</f>
        <v xml:space="preserve"> </v>
      </c>
      <c r="ED20" s="67" t="str">
        <f ca="1">IFERROR(IF(ISNUMBER(DS20),SUM(EB5:EB20) + SUM(EC21:EC36)," ")," ")</f>
        <v xml:space="preserve"> </v>
      </c>
      <c r="EF20" s="17">
        <v>15</v>
      </c>
      <c r="EG20" s="18"/>
      <c r="EH20" s="67" t="str">
        <f ca="1">IFERROR(MATCH(INDIRECT("EG20"),'1.Locations'!B2:B32, 0) - 1," ")</f>
        <v xml:space="preserve"> </v>
      </c>
      <c r="EI20" s="67" t="e">
        <f ca="1">IFERROR(IF(ISNUMBER(EH20),INDEX('1.Locations'!D2:D32,EH20 + 1),NA()),NA())</f>
        <v>#N/A</v>
      </c>
      <c r="EJ20" s="67" t="e">
        <f ca="1">IFERROR(IF(ISNUMBER(EH20),INDEX('1.Locations'!E2:E32,EH20 + 1),NA()),NA())</f>
        <v>#N/A</v>
      </c>
      <c r="EK20" s="68" t="str">
        <f ca="1">IFERROR(IF(ISNUMBER(EH20),INDEX('2.Distances'!C2:C962,EH19*31+EH20+ 1) +EK19," ")," ")</f>
        <v xml:space="preserve"> </v>
      </c>
      <c r="EL20" s="69" t="str">
        <f ca="1">IFERROR(IF(ISNUMBER(EH20),INDEX('2.Distances'!D2:D962,EH19*31+EH20 + 1) +EL19," ")," ")</f>
        <v xml:space="preserve"> </v>
      </c>
      <c r="EM20" s="70" t="str">
        <f ca="1">IFERROR(IF(ISNUMBER(EH20),INDEX('2.Distances'!D2:D962,EH19*31+EH20 + 1) +EN19," ")," ")</f>
        <v xml:space="preserve"> </v>
      </c>
      <c r="EN20" s="70" t="str">
        <f ca="1">IFERROR(IF(AND(EH5&lt;&gt;EH20,ISNUMBER(EM20)),INDEX('1.Locations'!I2:I32,EH20 + 1) + MAX(EM20,INDEX('1.Locations'!F2:F32,EH20 + 1))," ")," ")</f>
        <v xml:space="preserve"> </v>
      </c>
      <c r="EO20" s="69" t="str">
        <f ca="1">IFERROR(IF(EH5 = EH20, EM20 - EN5, EN20 - EN5)," ")</f>
        <v xml:space="preserve"> </v>
      </c>
      <c r="EP20" s="67" t="str">
        <f ca="1">IFERROR(IF(ISNUMBER(EH20),INDEX('1.Locations'!L2:L32,EH20 + 1) + EP19," ")," ")</f>
        <v xml:space="preserve"> </v>
      </c>
      <c r="EQ20" s="67" t="str">
        <f ca="1">IFERROR(IF(ISNUMBER(EH20),INDEX('1.Locations'!J2:J32,EH20 + 1)," ")," ")</f>
        <v xml:space="preserve"> </v>
      </c>
      <c r="ER20" s="67" t="str">
        <f ca="1">IFERROR(IF(ISNUMBER(EH20),INDEX('1.Locations'!K2:K32,EH20 + 1)," ")," ")</f>
        <v xml:space="preserve"> </v>
      </c>
      <c r="ES20" s="67" t="str">
        <f ca="1">IFERROR(IF(ISNUMBER(EH20),SUM(EQ5:EQ20) + SUM(ER21:ER36)," ")," ")</f>
        <v xml:space="preserve"> </v>
      </c>
    </row>
    <row r="21" spans="1:149" x14ac:dyDescent="0.25">
      <c r="A21" s="17">
        <v>16</v>
      </c>
      <c r="B21" s="21"/>
      <c r="C21" s="67" t="str">
        <f ca="1">IFERROR(MATCH(INDIRECT("B21"),'1.Locations'!B2:B32, 0) - 1," ")</f>
        <v xml:space="preserve"> </v>
      </c>
      <c r="D21" s="67" t="e">
        <f ca="1">IFERROR(IF(ISNUMBER(C21),INDEX('1.Locations'!D2:D32,C21 + 1),NA()),NA())</f>
        <v>#N/A</v>
      </c>
      <c r="E21" s="67" t="e">
        <f ca="1">IFERROR(IF(ISNUMBER(C21),INDEX('1.Locations'!E2:E32,C21 + 1),NA()),NA())</f>
        <v>#N/A</v>
      </c>
      <c r="F21" s="68" t="str">
        <f ca="1">IFERROR(IF(ISNUMBER(C21),INDEX('2.Distances'!C2:C962,C20*31+C21+ 1) +F20," ")," ")</f>
        <v xml:space="preserve"> </v>
      </c>
      <c r="G21" s="69" t="str">
        <f ca="1">IFERROR(IF(ISNUMBER(C21),INDEX('2.Distances'!D2:D962,C20*31+C21 + 1) +G20," ")," ")</f>
        <v xml:space="preserve"> </v>
      </c>
      <c r="H21" s="70" t="str">
        <f ca="1">IFERROR(IF(ISNUMBER(C21),INDEX('2.Distances'!D2:D962,C20*31+C21 + 1) +I20," ")," ")</f>
        <v xml:space="preserve"> </v>
      </c>
      <c r="I21" s="70" t="str">
        <f ca="1">IFERROR(IF(AND(C5&lt;&gt;C21,ISNUMBER(H21)),INDEX('1.Locations'!I2:I32,C21 + 1) + MAX(H21,INDEX('1.Locations'!F2:F32,C21 + 1))," ")," ")</f>
        <v xml:space="preserve"> </v>
      </c>
      <c r="J21" s="69" t="str">
        <f ca="1">IFERROR(IF(C5 = C21, H21 - I5, I21 - I5)," ")</f>
        <v xml:space="preserve"> </v>
      </c>
      <c r="K21" s="67" t="str">
        <f ca="1">IFERROR(IF(ISNUMBER(C21),INDEX('1.Locations'!L2:L32,C21 + 1) + K20," ")," ")</f>
        <v xml:space="preserve"> </v>
      </c>
      <c r="L21" s="67" t="str">
        <f ca="1">IFERROR(IF(ISNUMBER(C21),INDEX('1.Locations'!J2:J32,C21 + 1)," ")," ")</f>
        <v xml:space="preserve"> </v>
      </c>
      <c r="M21" s="67" t="str">
        <f ca="1">IFERROR(IF(ISNUMBER(C21),INDEX('1.Locations'!K2:K32,C21 + 1)," ")," ")</f>
        <v xml:space="preserve"> </v>
      </c>
      <c r="N21" s="67" t="str">
        <f ca="1">IFERROR(IF(ISNUMBER(C21),SUM(L5:L21) + SUM(M22:M36)," ")," ")</f>
        <v xml:space="preserve"> </v>
      </c>
      <c r="P21" s="17">
        <v>16</v>
      </c>
      <c r="Q21" s="21"/>
      <c r="R21" s="67" t="str">
        <f ca="1">IFERROR(MATCH(INDIRECT("Q21"),'1.Locations'!B2:B32, 0) - 1," ")</f>
        <v xml:space="preserve"> </v>
      </c>
      <c r="S21" s="67" t="e">
        <f ca="1">IFERROR(IF(ISNUMBER(R21),INDEX('1.Locations'!D2:D32,R21 + 1),NA()),NA())</f>
        <v>#N/A</v>
      </c>
      <c r="T21" s="67" t="e">
        <f ca="1">IFERROR(IF(ISNUMBER(R21),INDEX('1.Locations'!E2:E32,R21 + 1),NA()),NA())</f>
        <v>#N/A</v>
      </c>
      <c r="U21" s="68" t="str">
        <f ca="1">IFERROR(IF(ISNUMBER(R21),INDEX('2.Distances'!C2:C962,R20*31+R21+ 1) +U20," ")," ")</f>
        <v xml:space="preserve"> </v>
      </c>
      <c r="V21" s="69" t="str">
        <f ca="1">IFERROR(IF(ISNUMBER(R21),INDEX('2.Distances'!D2:D962,R20*31+R21 + 1) +V20," ")," ")</f>
        <v xml:space="preserve"> </v>
      </c>
      <c r="W21" s="70" t="str">
        <f ca="1">IFERROR(IF(ISNUMBER(R21),INDEX('2.Distances'!D2:D962,R20*31+R21 + 1) +X20," ")," ")</f>
        <v xml:space="preserve"> </v>
      </c>
      <c r="X21" s="70" t="str">
        <f ca="1">IFERROR(IF(AND(R5&lt;&gt;R21,ISNUMBER(W21)),INDEX('1.Locations'!I2:I32,R21 + 1) + MAX(W21,INDEX('1.Locations'!F2:F32,R21 + 1))," ")," ")</f>
        <v xml:space="preserve"> </v>
      </c>
      <c r="Y21" s="69" t="str">
        <f ca="1">IFERROR(IF(R5 = R21, W21 - X5, X21 - X5)," ")</f>
        <v xml:space="preserve"> </v>
      </c>
      <c r="Z21" s="67" t="str">
        <f ca="1">IFERROR(IF(ISNUMBER(R21),INDEX('1.Locations'!L2:L32,R21 + 1) + Z20," ")," ")</f>
        <v xml:space="preserve"> </v>
      </c>
      <c r="AA21" s="67" t="str">
        <f ca="1">IFERROR(IF(ISNUMBER(R21),INDEX('1.Locations'!J2:J32,R21 + 1)," ")," ")</f>
        <v xml:space="preserve"> </v>
      </c>
      <c r="AB21" s="67" t="str">
        <f ca="1">IFERROR(IF(ISNUMBER(R21),INDEX('1.Locations'!K2:K32,R21 + 1)," ")," ")</f>
        <v xml:space="preserve"> </v>
      </c>
      <c r="AC21" s="67" t="str">
        <f ca="1">IFERROR(IF(ISNUMBER(R21),SUM(AA5:AA21) + SUM(AB22:AB36)," ")," ")</f>
        <v xml:space="preserve"> </v>
      </c>
      <c r="AE21" s="17">
        <v>16</v>
      </c>
      <c r="AF21" s="21"/>
      <c r="AG21" s="67" t="str">
        <f ca="1">IFERROR(MATCH(INDIRECT("AF21"),'1.Locations'!B2:B32, 0) - 1," ")</f>
        <v xml:space="preserve"> </v>
      </c>
      <c r="AH21" s="67" t="e">
        <f ca="1">IFERROR(IF(ISNUMBER(AG21),INDEX('1.Locations'!D2:D32,AG21 + 1),NA()),NA())</f>
        <v>#N/A</v>
      </c>
      <c r="AI21" s="67" t="e">
        <f ca="1">IFERROR(IF(ISNUMBER(AG21),INDEX('1.Locations'!E2:E32,AG21 + 1),NA()),NA())</f>
        <v>#N/A</v>
      </c>
      <c r="AJ21" s="68" t="str">
        <f ca="1">IFERROR(IF(ISNUMBER(AG21),INDEX('2.Distances'!C2:C962,AG20*31+AG21+ 1) +AJ20," ")," ")</f>
        <v xml:space="preserve"> </v>
      </c>
      <c r="AK21" s="69" t="str">
        <f ca="1">IFERROR(IF(ISNUMBER(AG21),INDEX('2.Distances'!D2:D962,AG20*31+AG21 + 1) +AK20," ")," ")</f>
        <v xml:space="preserve"> </v>
      </c>
      <c r="AL21" s="70" t="str">
        <f ca="1">IFERROR(IF(ISNUMBER(AG21),INDEX('2.Distances'!D2:D962,AG20*31+AG21 + 1) +AM20," ")," ")</f>
        <v xml:space="preserve"> </v>
      </c>
      <c r="AM21" s="70" t="str">
        <f ca="1">IFERROR(IF(AND(AG5&lt;&gt;AG21,ISNUMBER(AL21)),INDEX('1.Locations'!I2:I32,AG21 + 1) + MAX(AL21,INDEX('1.Locations'!F2:F32,AG21 + 1))," ")," ")</f>
        <v xml:space="preserve"> </v>
      </c>
      <c r="AN21" s="69" t="str">
        <f ca="1">IFERROR(IF(AG5 = AG21, AL21 - AM5, AM21 - AM5)," ")</f>
        <v xml:space="preserve"> </v>
      </c>
      <c r="AO21" s="67" t="str">
        <f ca="1">IFERROR(IF(ISNUMBER(AG21),INDEX('1.Locations'!L2:L32,AG21 + 1) + AO20," ")," ")</f>
        <v xml:space="preserve"> </v>
      </c>
      <c r="AP21" s="67" t="str">
        <f ca="1">IFERROR(IF(ISNUMBER(AG21),INDEX('1.Locations'!J2:J32,AG21 + 1)," ")," ")</f>
        <v xml:space="preserve"> </v>
      </c>
      <c r="AQ21" s="67" t="str">
        <f ca="1">IFERROR(IF(ISNUMBER(AG21),INDEX('1.Locations'!K2:K32,AG21 + 1)," ")," ")</f>
        <v xml:space="preserve"> </v>
      </c>
      <c r="AR21" s="67" t="str">
        <f ca="1">IFERROR(IF(ISNUMBER(AG21),SUM(AP5:AP21) + SUM(AQ22:AQ36)," ")," ")</f>
        <v xml:space="preserve"> </v>
      </c>
      <c r="AT21" s="17">
        <v>16</v>
      </c>
      <c r="AU21" s="21"/>
      <c r="AV21" s="67" t="str">
        <f ca="1">IFERROR(MATCH(INDIRECT("AU21"),'1.Locations'!B2:B32, 0) - 1," ")</f>
        <v xml:space="preserve"> </v>
      </c>
      <c r="AW21" s="67" t="e">
        <f ca="1">IFERROR(IF(ISNUMBER(AV21),INDEX('1.Locations'!D2:D32,AV21 + 1),NA()),NA())</f>
        <v>#N/A</v>
      </c>
      <c r="AX21" s="67" t="e">
        <f ca="1">IFERROR(IF(ISNUMBER(AV21),INDEX('1.Locations'!E2:E32,AV21 + 1),NA()),NA())</f>
        <v>#N/A</v>
      </c>
      <c r="AY21" s="68" t="str">
        <f ca="1">IFERROR(IF(ISNUMBER(AV21),INDEX('2.Distances'!C2:C962,AV20*31+AV21+ 1) +AY20," ")," ")</f>
        <v xml:space="preserve"> </v>
      </c>
      <c r="AZ21" s="69" t="str">
        <f ca="1">IFERROR(IF(ISNUMBER(AV21),INDEX('2.Distances'!D2:D962,AV20*31+AV21 + 1) +AZ20," ")," ")</f>
        <v xml:space="preserve"> </v>
      </c>
      <c r="BA21" s="70" t="str">
        <f ca="1">IFERROR(IF(ISNUMBER(AV21),INDEX('2.Distances'!D2:D962,AV20*31+AV21 + 1) +BB20," ")," ")</f>
        <v xml:space="preserve"> </v>
      </c>
      <c r="BB21" s="70" t="str">
        <f ca="1">IFERROR(IF(AND(AV5&lt;&gt;AV21,ISNUMBER(BA21)),INDEX('1.Locations'!I2:I32,AV21 + 1) + MAX(BA21,INDEX('1.Locations'!F2:F32,AV21 + 1))," ")," ")</f>
        <v xml:space="preserve"> </v>
      </c>
      <c r="BC21" s="69" t="str">
        <f ca="1">IFERROR(IF(AV5 = AV21, BA21 - BB5, BB21 - BB5)," ")</f>
        <v xml:space="preserve"> </v>
      </c>
      <c r="BD21" s="67" t="str">
        <f ca="1">IFERROR(IF(ISNUMBER(AV21),INDEX('1.Locations'!L2:L32,AV21 + 1) + BD20," ")," ")</f>
        <v xml:space="preserve"> </v>
      </c>
      <c r="BE21" s="67" t="str">
        <f ca="1">IFERROR(IF(ISNUMBER(AV21),INDEX('1.Locations'!J2:J32,AV21 + 1)," ")," ")</f>
        <v xml:space="preserve"> </v>
      </c>
      <c r="BF21" s="67" t="str">
        <f ca="1">IFERROR(IF(ISNUMBER(AV21),INDEX('1.Locations'!K2:K32,AV21 + 1)," ")," ")</f>
        <v xml:space="preserve"> </v>
      </c>
      <c r="BG21" s="67" t="str">
        <f ca="1">IFERROR(IF(ISNUMBER(AV21),SUM(BE5:BE21) + SUM(BF22:BF36)," ")," ")</f>
        <v xml:space="preserve"> </v>
      </c>
      <c r="BI21" s="17">
        <v>16</v>
      </c>
      <c r="BJ21" s="21"/>
      <c r="BK21" s="67" t="str">
        <f ca="1">IFERROR(MATCH(INDIRECT("BJ21"),'1.Locations'!B2:B32, 0) - 1," ")</f>
        <v xml:space="preserve"> </v>
      </c>
      <c r="BL21" s="67" t="e">
        <f ca="1">IFERROR(IF(ISNUMBER(BK21),INDEX('1.Locations'!D2:D32,BK21 + 1),NA()),NA())</f>
        <v>#N/A</v>
      </c>
      <c r="BM21" s="67" t="e">
        <f ca="1">IFERROR(IF(ISNUMBER(BK21),INDEX('1.Locations'!E2:E32,BK21 + 1),NA()),NA())</f>
        <v>#N/A</v>
      </c>
      <c r="BN21" s="68" t="str">
        <f ca="1">IFERROR(IF(ISNUMBER(BK21),INDEX('2.Distances'!C2:C962,BK20*31+BK21+ 1) +BN20," ")," ")</f>
        <v xml:space="preserve"> </v>
      </c>
      <c r="BO21" s="69" t="str">
        <f ca="1">IFERROR(IF(ISNUMBER(BK21),INDEX('2.Distances'!D2:D962,BK20*31+BK21 + 1) +BO20," ")," ")</f>
        <v xml:space="preserve"> </v>
      </c>
      <c r="BP21" s="70" t="str">
        <f ca="1">IFERROR(IF(ISNUMBER(BK21),INDEX('2.Distances'!D2:D962,BK20*31+BK21 + 1) +BQ20," ")," ")</f>
        <v xml:space="preserve"> </v>
      </c>
      <c r="BQ21" s="70" t="str">
        <f ca="1">IFERROR(IF(AND(BK5&lt;&gt;BK21,ISNUMBER(BP21)),INDEX('1.Locations'!I2:I32,BK21 + 1) + MAX(BP21,INDEX('1.Locations'!F2:F32,BK21 + 1))," ")," ")</f>
        <v xml:space="preserve"> </v>
      </c>
      <c r="BR21" s="69" t="str">
        <f ca="1">IFERROR(IF(BK5 = BK21, BP21 - BQ5, BQ21 - BQ5)," ")</f>
        <v xml:space="preserve"> </v>
      </c>
      <c r="BS21" s="67" t="str">
        <f ca="1">IFERROR(IF(ISNUMBER(BK21),INDEX('1.Locations'!L2:L32,BK21 + 1) + BS20," ")," ")</f>
        <v xml:space="preserve"> </v>
      </c>
      <c r="BT21" s="67" t="str">
        <f ca="1">IFERROR(IF(ISNUMBER(BK21),INDEX('1.Locations'!J2:J32,BK21 + 1)," ")," ")</f>
        <v xml:space="preserve"> </v>
      </c>
      <c r="BU21" s="67" t="str">
        <f ca="1">IFERROR(IF(ISNUMBER(BK21),INDEX('1.Locations'!K2:K32,BK21 + 1)," ")," ")</f>
        <v xml:space="preserve"> </v>
      </c>
      <c r="BV21" s="67" t="str">
        <f ca="1">IFERROR(IF(ISNUMBER(BK21),SUM(BT5:BT21) + SUM(BU22:BU36)," ")," ")</f>
        <v xml:space="preserve"> </v>
      </c>
      <c r="BX21" s="17">
        <v>16</v>
      </c>
      <c r="BY21" s="21"/>
      <c r="BZ21" s="67" t="str">
        <f ca="1">IFERROR(MATCH(INDIRECT("BY21"),'1.Locations'!B2:B32, 0) - 1," ")</f>
        <v xml:space="preserve"> </v>
      </c>
      <c r="CA21" s="67" t="e">
        <f ca="1">IFERROR(IF(ISNUMBER(BZ21),INDEX('1.Locations'!D2:D32,BZ21 + 1),NA()),NA())</f>
        <v>#N/A</v>
      </c>
      <c r="CB21" s="67" t="e">
        <f ca="1">IFERROR(IF(ISNUMBER(BZ21),INDEX('1.Locations'!E2:E32,BZ21 + 1),NA()),NA())</f>
        <v>#N/A</v>
      </c>
      <c r="CC21" s="68" t="str">
        <f ca="1">IFERROR(IF(ISNUMBER(BZ21),INDEX('2.Distances'!C2:C962,BZ20*31+BZ21+ 1) +CC20," ")," ")</f>
        <v xml:space="preserve"> </v>
      </c>
      <c r="CD21" s="69" t="str">
        <f ca="1">IFERROR(IF(ISNUMBER(BZ21),INDEX('2.Distances'!D2:D962,BZ20*31+BZ21 + 1) +CD20," ")," ")</f>
        <v xml:space="preserve"> </v>
      </c>
      <c r="CE21" s="70" t="str">
        <f ca="1">IFERROR(IF(ISNUMBER(BZ21),INDEX('2.Distances'!D2:D962,BZ20*31+BZ21 + 1) +CF20," ")," ")</f>
        <v xml:space="preserve"> </v>
      </c>
      <c r="CF21" s="70" t="str">
        <f ca="1">IFERROR(IF(AND(BZ5&lt;&gt;BZ21,ISNUMBER(CE21)),INDEX('1.Locations'!I2:I32,BZ21 + 1) + MAX(CE21,INDEX('1.Locations'!F2:F32,BZ21 + 1))," ")," ")</f>
        <v xml:space="preserve"> </v>
      </c>
      <c r="CG21" s="69" t="str">
        <f ca="1">IFERROR(IF(BZ5 = BZ21, CE21 - CF5, CF21 - CF5)," ")</f>
        <v xml:space="preserve"> </v>
      </c>
      <c r="CH21" s="67" t="str">
        <f ca="1">IFERROR(IF(ISNUMBER(BZ21),INDEX('1.Locations'!L2:L32,BZ21 + 1) + CH20," ")," ")</f>
        <v xml:space="preserve"> </v>
      </c>
      <c r="CI21" s="67" t="str">
        <f ca="1">IFERROR(IF(ISNUMBER(BZ21),INDEX('1.Locations'!J2:J32,BZ21 + 1)," ")," ")</f>
        <v xml:space="preserve"> </v>
      </c>
      <c r="CJ21" s="67" t="str">
        <f ca="1">IFERROR(IF(ISNUMBER(BZ21),INDEX('1.Locations'!K2:K32,BZ21 + 1)," ")," ")</f>
        <v xml:space="preserve"> </v>
      </c>
      <c r="CK21" s="67" t="str">
        <f ca="1">IFERROR(IF(ISNUMBER(BZ21),SUM(CI5:CI21) + SUM(CJ22:CJ36)," ")," ")</f>
        <v xml:space="preserve"> </v>
      </c>
      <c r="CM21" s="17">
        <v>16</v>
      </c>
      <c r="CN21" s="21"/>
      <c r="CO21" s="67" t="str">
        <f ca="1">IFERROR(MATCH(INDIRECT("CN21"),'1.Locations'!B2:B32, 0) - 1," ")</f>
        <v xml:space="preserve"> </v>
      </c>
      <c r="CP21" s="67" t="e">
        <f ca="1">IFERROR(IF(ISNUMBER(CO21),INDEX('1.Locations'!D2:D32,CO21 + 1),NA()),NA())</f>
        <v>#N/A</v>
      </c>
      <c r="CQ21" s="67" t="e">
        <f ca="1">IFERROR(IF(ISNUMBER(CO21),INDEX('1.Locations'!E2:E32,CO21 + 1),NA()),NA())</f>
        <v>#N/A</v>
      </c>
      <c r="CR21" s="68" t="str">
        <f ca="1">IFERROR(IF(ISNUMBER(CO21),INDEX('2.Distances'!C2:C962,CO20*31+CO21+ 1) +CR20," ")," ")</f>
        <v xml:space="preserve"> </v>
      </c>
      <c r="CS21" s="69" t="str">
        <f ca="1">IFERROR(IF(ISNUMBER(CO21),INDEX('2.Distances'!D2:D962,CO20*31+CO21 + 1) +CS20," ")," ")</f>
        <v xml:space="preserve"> </v>
      </c>
      <c r="CT21" s="70" t="str">
        <f ca="1">IFERROR(IF(ISNUMBER(CO21),INDEX('2.Distances'!D2:D962,CO20*31+CO21 + 1) +CU20," ")," ")</f>
        <v xml:space="preserve"> </v>
      </c>
      <c r="CU21" s="70" t="str">
        <f ca="1">IFERROR(IF(AND(CO5&lt;&gt;CO21,ISNUMBER(CT21)),INDEX('1.Locations'!I2:I32,CO21 + 1) + MAX(CT21,INDEX('1.Locations'!F2:F32,CO21 + 1))," ")," ")</f>
        <v xml:space="preserve"> </v>
      </c>
      <c r="CV21" s="69" t="str">
        <f ca="1">IFERROR(IF(CO5 = CO21, CT21 - CU5, CU21 - CU5)," ")</f>
        <v xml:space="preserve"> </v>
      </c>
      <c r="CW21" s="67" t="str">
        <f ca="1">IFERROR(IF(ISNUMBER(CO21),INDEX('1.Locations'!L2:L32,CO21 + 1) + CW20," ")," ")</f>
        <v xml:space="preserve"> </v>
      </c>
      <c r="CX21" s="67" t="str">
        <f ca="1">IFERROR(IF(ISNUMBER(CO21),INDEX('1.Locations'!J2:J32,CO21 + 1)," ")," ")</f>
        <v xml:space="preserve"> </v>
      </c>
      <c r="CY21" s="67" t="str">
        <f ca="1">IFERROR(IF(ISNUMBER(CO21),INDEX('1.Locations'!K2:K32,CO21 + 1)," ")," ")</f>
        <v xml:space="preserve"> </v>
      </c>
      <c r="CZ21" s="67" t="str">
        <f ca="1">IFERROR(IF(ISNUMBER(CO21),SUM(CX5:CX21) + SUM(CY22:CY36)," ")," ")</f>
        <v xml:space="preserve"> </v>
      </c>
      <c r="DB21" s="17">
        <v>16</v>
      </c>
      <c r="DC21" s="21"/>
      <c r="DD21" s="67" t="str">
        <f ca="1">IFERROR(MATCH(INDIRECT("DC21"),'1.Locations'!B2:B32, 0) - 1," ")</f>
        <v xml:space="preserve"> </v>
      </c>
      <c r="DE21" s="67" t="e">
        <f ca="1">IFERROR(IF(ISNUMBER(DD21),INDEX('1.Locations'!D2:D32,DD21 + 1),NA()),NA())</f>
        <v>#N/A</v>
      </c>
      <c r="DF21" s="67" t="e">
        <f ca="1">IFERROR(IF(ISNUMBER(DD21),INDEX('1.Locations'!E2:E32,DD21 + 1),NA()),NA())</f>
        <v>#N/A</v>
      </c>
      <c r="DG21" s="68" t="str">
        <f ca="1">IFERROR(IF(ISNUMBER(DD21),INDEX('2.Distances'!C2:C962,DD20*31+DD21+ 1) +DG20," ")," ")</f>
        <v xml:space="preserve"> </v>
      </c>
      <c r="DH21" s="69" t="str">
        <f ca="1">IFERROR(IF(ISNUMBER(DD21),INDEX('2.Distances'!D2:D962,DD20*31+DD21 + 1) +DH20," ")," ")</f>
        <v xml:space="preserve"> </v>
      </c>
      <c r="DI21" s="70" t="str">
        <f ca="1">IFERROR(IF(ISNUMBER(DD21),INDEX('2.Distances'!D2:D962,DD20*31+DD21 + 1) +DJ20," ")," ")</f>
        <v xml:space="preserve"> </v>
      </c>
      <c r="DJ21" s="70" t="str">
        <f ca="1">IFERROR(IF(AND(DD5&lt;&gt;DD21,ISNUMBER(DI21)),INDEX('1.Locations'!I2:I32,DD21 + 1) + MAX(DI21,INDEX('1.Locations'!F2:F32,DD21 + 1))," ")," ")</f>
        <v xml:space="preserve"> </v>
      </c>
      <c r="DK21" s="69" t="str">
        <f ca="1">IFERROR(IF(DD5 = DD21, DI21 - DJ5, DJ21 - DJ5)," ")</f>
        <v xml:space="preserve"> </v>
      </c>
      <c r="DL21" s="67" t="str">
        <f ca="1">IFERROR(IF(ISNUMBER(DD21),INDEX('1.Locations'!L2:L32,DD21 + 1) + DL20," ")," ")</f>
        <v xml:space="preserve"> </v>
      </c>
      <c r="DM21" s="67" t="str">
        <f ca="1">IFERROR(IF(ISNUMBER(DD21),INDEX('1.Locations'!J2:J32,DD21 + 1)," ")," ")</f>
        <v xml:space="preserve"> </v>
      </c>
      <c r="DN21" s="67" t="str">
        <f ca="1">IFERROR(IF(ISNUMBER(DD21),INDEX('1.Locations'!K2:K32,DD21 + 1)," ")," ")</f>
        <v xml:space="preserve"> </v>
      </c>
      <c r="DO21" s="67" t="str">
        <f ca="1">IFERROR(IF(ISNUMBER(DD21),SUM(DM5:DM21) + SUM(DN22:DN36)," ")," ")</f>
        <v xml:space="preserve"> </v>
      </c>
      <c r="DQ21" s="17">
        <v>16</v>
      </c>
      <c r="DR21" s="21"/>
      <c r="DS21" s="67" t="str">
        <f ca="1">IFERROR(MATCH(INDIRECT("DR21"),'1.Locations'!B2:B32, 0) - 1," ")</f>
        <v xml:space="preserve"> </v>
      </c>
      <c r="DT21" s="67" t="e">
        <f ca="1">IFERROR(IF(ISNUMBER(DS21),INDEX('1.Locations'!D2:D32,DS21 + 1),NA()),NA())</f>
        <v>#N/A</v>
      </c>
      <c r="DU21" s="67" t="e">
        <f ca="1">IFERROR(IF(ISNUMBER(DS21),INDEX('1.Locations'!E2:E32,DS21 + 1),NA()),NA())</f>
        <v>#N/A</v>
      </c>
      <c r="DV21" s="68" t="str">
        <f ca="1">IFERROR(IF(ISNUMBER(DS21),INDEX('2.Distances'!C2:C962,DS20*31+DS21+ 1) +DV20," ")," ")</f>
        <v xml:space="preserve"> </v>
      </c>
      <c r="DW21" s="69" t="str">
        <f ca="1">IFERROR(IF(ISNUMBER(DS21),INDEX('2.Distances'!D2:D962,DS20*31+DS21 + 1) +DW20," ")," ")</f>
        <v xml:space="preserve"> </v>
      </c>
      <c r="DX21" s="70" t="str">
        <f ca="1">IFERROR(IF(ISNUMBER(DS21),INDEX('2.Distances'!D2:D962,DS20*31+DS21 + 1) +DY20," ")," ")</f>
        <v xml:space="preserve"> </v>
      </c>
      <c r="DY21" s="70" t="str">
        <f ca="1">IFERROR(IF(AND(DS5&lt;&gt;DS21,ISNUMBER(DX21)),INDEX('1.Locations'!I2:I32,DS21 + 1) + MAX(DX21,INDEX('1.Locations'!F2:F32,DS21 + 1))," ")," ")</f>
        <v xml:space="preserve"> </v>
      </c>
      <c r="DZ21" s="69" t="str">
        <f ca="1">IFERROR(IF(DS5 = DS21, DX21 - DY5, DY21 - DY5)," ")</f>
        <v xml:space="preserve"> </v>
      </c>
      <c r="EA21" s="67" t="str">
        <f ca="1">IFERROR(IF(ISNUMBER(DS21),INDEX('1.Locations'!L2:L32,DS21 + 1) + EA20," ")," ")</f>
        <v xml:space="preserve"> </v>
      </c>
      <c r="EB21" s="67" t="str">
        <f ca="1">IFERROR(IF(ISNUMBER(DS21),INDEX('1.Locations'!J2:J32,DS21 + 1)," ")," ")</f>
        <v xml:space="preserve"> </v>
      </c>
      <c r="EC21" s="67" t="str">
        <f ca="1">IFERROR(IF(ISNUMBER(DS21),INDEX('1.Locations'!K2:K32,DS21 + 1)," ")," ")</f>
        <v xml:space="preserve"> </v>
      </c>
      <c r="ED21" s="67" t="str">
        <f ca="1">IFERROR(IF(ISNUMBER(DS21),SUM(EB5:EB21) + SUM(EC22:EC36)," ")," ")</f>
        <v xml:space="preserve"> </v>
      </c>
      <c r="EF21" s="17">
        <v>16</v>
      </c>
      <c r="EG21" s="21"/>
      <c r="EH21" s="67" t="str">
        <f ca="1">IFERROR(MATCH(INDIRECT("EG21"),'1.Locations'!B2:B32, 0) - 1," ")</f>
        <v xml:space="preserve"> </v>
      </c>
      <c r="EI21" s="67" t="e">
        <f ca="1">IFERROR(IF(ISNUMBER(EH21),INDEX('1.Locations'!D2:D32,EH21 + 1),NA()),NA())</f>
        <v>#N/A</v>
      </c>
      <c r="EJ21" s="67" t="e">
        <f ca="1">IFERROR(IF(ISNUMBER(EH21),INDEX('1.Locations'!E2:E32,EH21 + 1),NA()),NA())</f>
        <v>#N/A</v>
      </c>
      <c r="EK21" s="68" t="str">
        <f ca="1">IFERROR(IF(ISNUMBER(EH21),INDEX('2.Distances'!C2:C962,EH20*31+EH21+ 1) +EK20," ")," ")</f>
        <v xml:space="preserve"> </v>
      </c>
      <c r="EL21" s="69" t="str">
        <f ca="1">IFERROR(IF(ISNUMBER(EH21),INDEX('2.Distances'!D2:D962,EH20*31+EH21 + 1) +EL20," ")," ")</f>
        <v xml:space="preserve"> </v>
      </c>
      <c r="EM21" s="70" t="str">
        <f ca="1">IFERROR(IF(ISNUMBER(EH21),INDEX('2.Distances'!D2:D962,EH20*31+EH21 + 1) +EN20," ")," ")</f>
        <v xml:space="preserve"> </v>
      </c>
      <c r="EN21" s="70" t="str">
        <f ca="1">IFERROR(IF(AND(EH5&lt;&gt;EH21,ISNUMBER(EM21)),INDEX('1.Locations'!I2:I32,EH21 + 1) + MAX(EM21,INDEX('1.Locations'!F2:F32,EH21 + 1))," ")," ")</f>
        <v xml:space="preserve"> </v>
      </c>
      <c r="EO21" s="69" t="str">
        <f ca="1">IFERROR(IF(EH5 = EH21, EM21 - EN5, EN21 - EN5)," ")</f>
        <v xml:space="preserve"> </v>
      </c>
      <c r="EP21" s="67" t="str">
        <f ca="1">IFERROR(IF(ISNUMBER(EH21),INDEX('1.Locations'!L2:L32,EH21 + 1) + EP20," ")," ")</f>
        <v xml:space="preserve"> </v>
      </c>
      <c r="EQ21" s="67" t="str">
        <f ca="1">IFERROR(IF(ISNUMBER(EH21),INDEX('1.Locations'!J2:J32,EH21 + 1)," ")," ")</f>
        <v xml:space="preserve"> </v>
      </c>
      <c r="ER21" s="67" t="str">
        <f ca="1">IFERROR(IF(ISNUMBER(EH21),INDEX('1.Locations'!K2:K32,EH21 + 1)," ")," ")</f>
        <v xml:space="preserve"> </v>
      </c>
      <c r="ES21" s="67" t="str">
        <f ca="1">IFERROR(IF(ISNUMBER(EH21),SUM(EQ5:EQ21) + SUM(ER22:ER36)," ")," ")</f>
        <v xml:space="preserve"> </v>
      </c>
    </row>
    <row r="22" spans="1:149" x14ac:dyDescent="0.25">
      <c r="A22" s="17">
        <v>17</v>
      </c>
      <c r="B22" s="18"/>
      <c r="C22" s="67" t="str">
        <f ca="1">IFERROR(MATCH(INDIRECT("B22"),'1.Locations'!B2:B32, 0) - 1," ")</f>
        <v xml:space="preserve"> </v>
      </c>
      <c r="D22" s="67" t="e">
        <f ca="1">IFERROR(IF(ISNUMBER(C22),INDEX('1.Locations'!D2:D32,C22 + 1),NA()),NA())</f>
        <v>#N/A</v>
      </c>
      <c r="E22" s="67" t="e">
        <f ca="1">IFERROR(IF(ISNUMBER(C22),INDEX('1.Locations'!E2:E32,C22 + 1),NA()),NA())</f>
        <v>#N/A</v>
      </c>
      <c r="F22" s="68" t="str">
        <f ca="1">IFERROR(IF(ISNUMBER(C22),INDEX('2.Distances'!C2:C962,C21*31+C22+ 1) +F21," ")," ")</f>
        <v xml:space="preserve"> </v>
      </c>
      <c r="G22" s="69" t="str">
        <f ca="1">IFERROR(IF(ISNUMBER(C22),INDEX('2.Distances'!D2:D962,C21*31+C22 + 1) +G21," ")," ")</f>
        <v xml:space="preserve"> </v>
      </c>
      <c r="H22" s="70" t="str">
        <f ca="1">IFERROR(IF(ISNUMBER(C22),INDEX('2.Distances'!D2:D962,C21*31+C22 + 1) +I21," ")," ")</f>
        <v xml:space="preserve"> </v>
      </c>
      <c r="I22" s="70" t="str">
        <f ca="1">IFERROR(IF(AND(C5&lt;&gt;C22,ISNUMBER(H22)),INDEX('1.Locations'!I2:I32,C22 + 1) + MAX(H22,INDEX('1.Locations'!F2:F32,C22 + 1))," ")," ")</f>
        <v xml:space="preserve"> </v>
      </c>
      <c r="J22" s="69" t="str">
        <f ca="1">IFERROR(IF(C5 = C22, H22 - I5, I22 - I5)," ")</f>
        <v xml:space="preserve"> </v>
      </c>
      <c r="K22" s="67" t="str">
        <f ca="1">IFERROR(IF(ISNUMBER(C22),INDEX('1.Locations'!L2:L32,C22 + 1) + K21," ")," ")</f>
        <v xml:space="preserve"> </v>
      </c>
      <c r="L22" s="67" t="str">
        <f ca="1">IFERROR(IF(ISNUMBER(C22),INDEX('1.Locations'!J2:J32,C22 + 1)," ")," ")</f>
        <v xml:space="preserve"> </v>
      </c>
      <c r="M22" s="67" t="str">
        <f ca="1">IFERROR(IF(ISNUMBER(C22),INDEX('1.Locations'!K2:K32,C22 + 1)," ")," ")</f>
        <v xml:space="preserve"> </v>
      </c>
      <c r="N22" s="67" t="str">
        <f ca="1">IFERROR(IF(ISNUMBER(C22),SUM(L5:L22) + SUM(M23:M36)," ")," ")</f>
        <v xml:space="preserve"> </v>
      </c>
      <c r="P22" s="17">
        <v>17</v>
      </c>
      <c r="Q22" s="18"/>
      <c r="R22" s="67" t="str">
        <f ca="1">IFERROR(MATCH(INDIRECT("Q22"),'1.Locations'!B2:B32, 0) - 1," ")</f>
        <v xml:space="preserve"> </v>
      </c>
      <c r="S22" s="67" t="e">
        <f ca="1">IFERROR(IF(ISNUMBER(R22),INDEX('1.Locations'!D2:D32,R22 + 1),NA()),NA())</f>
        <v>#N/A</v>
      </c>
      <c r="T22" s="67" t="e">
        <f ca="1">IFERROR(IF(ISNUMBER(R22),INDEX('1.Locations'!E2:E32,R22 + 1),NA()),NA())</f>
        <v>#N/A</v>
      </c>
      <c r="U22" s="68" t="str">
        <f ca="1">IFERROR(IF(ISNUMBER(R22),INDEX('2.Distances'!C2:C962,R21*31+R22+ 1) +U21," ")," ")</f>
        <v xml:space="preserve"> </v>
      </c>
      <c r="V22" s="69" t="str">
        <f ca="1">IFERROR(IF(ISNUMBER(R22),INDEX('2.Distances'!D2:D962,R21*31+R22 + 1) +V21," ")," ")</f>
        <v xml:space="preserve"> </v>
      </c>
      <c r="W22" s="70" t="str">
        <f ca="1">IFERROR(IF(ISNUMBER(R22),INDEX('2.Distances'!D2:D962,R21*31+R22 + 1) +X21," ")," ")</f>
        <v xml:space="preserve"> </v>
      </c>
      <c r="X22" s="70" t="str">
        <f ca="1">IFERROR(IF(AND(R5&lt;&gt;R22,ISNUMBER(W22)),INDEX('1.Locations'!I2:I32,R22 + 1) + MAX(W22,INDEX('1.Locations'!F2:F32,R22 + 1))," ")," ")</f>
        <v xml:space="preserve"> </v>
      </c>
      <c r="Y22" s="69" t="str">
        <f ca="1">IFERROR(IF(R5 = R22, W22 - X5, X22 - X5)," ")</f>
        <v xml:space="preserve"> </v>
      </c>
      <c r="Z22" s="67" t="str">
        <f ca="1">IFERROR(IF(ISNUMBER(R22),INDEX('1.Locations'!L2:L32,R22 + 1) + Z21," ")," ")</f>
        <v xml:space="preserve"> </v>
      </c>
      <c r="AA22" s="67" t="str">
        <f ca="1">IFERROR(IF(ISNUMBER(R22),INDEX('1.Locations'!J2:J32,R22 + 1)," ")," ")</f>
        <v xml:space="preserve"> </v>
      </c>
      <c r="AB22" s="67" t="str">
        <f ca="1">IFERROR(IF(ISNUMBER(R22),INDEX('1.Locations'!K2:K32,R22 + 1)," ")," ")</f>
        <v xml:space="preserve"> </v>
      </c>
      <c r="AC22" s="67" t="str">
        <f ca="1">IFERROR(IF(ISNUMBER(R22),SUM(AA5:AA22) + SUM(AB23:AB36)," ")," ")</f>
        <v xml:space="preserve"> </v>
      </c>
      <c r="AE22" s="17">
        <v>17</v>
      </c>
      <c r="AF22" s="18"/>
      <c r="AG22" s="67" t="str">
        <f ca="1">IFERROR(MATCH(INDIRECT("AF22"),'1.Locations'!B2:B32, 0) - 1," ")</f>
        <v xml:space="preserve"> </v>
      </c>
      <c r="AH22" s="67" t="e">
        <f ca="1">IFERROR(IF(ISNUMBER(AG22),INDEX('1.Locations'!D2:D32,AG22 + 1),NA()),NA())</f>
        <v>#N/A</v>
      </c>
      <c r="AI22" s="67" t="e">
        <f ca="1">IFERROR(IF(ISNUMBER(AG22),INDEX('1.Locations'!E2:E32,AG22 + 1),NA()),NA())</f>
        <v>#N/A</v>
      </c>
      <c r="AJ22" s="68" t="str">
        <f ca="1">IFERROR(IF(ISNUMBER(AG22),INDEX('2.Distances'!C2:C962,AG21*31+AG22+ 1) +AJ21," ")," ")</f>
        <v xml:space="preserve"> </v>
      </c>
      <c r="AK22" s="69" t="str">
        <f ca="1">IFERROR(IF(ISNUMBER(AG22),INDEX('2.Distances'!D2:D962,AG21*31+AG22 + 1) +AK21," ")," ")</f>
        <v xml:space="preserve"> </v>
      </c>
      <c r="AL22" s="70" t="str">
        <f ca="1">IFERROR(IF(ISNUMBER(AG22),INDEX('2.Distances'!D2:D962,AG21*31+AG22 + 1) +AM21," ")," ")</f>
        <v xml:space="preserve"> </v>
      </c>
      <c r="AM22" s="70" t="str">
        <f ca="1">IFERROR(IF(AND(AG5&lt;&gt;AG22,ISNUMBER(AL22)),INDEX('1.Locations'!I2:I32,AG22 + 1) + MAX(AL22,INDEX('1.Locations'!F2:F32,AG22 + 1))," ")," ")</f>
        <v xml:space="preserve"> </v>
      </c>
      <c r="AN22" s="69" t="str">
        <f ca="1">IFERROR(IF(AG5 = AG22, AL22 - AM5, AM22 - AM5)," ")</f>
        <v xml:space="preserve"> </v>
      </c>
      <c r="AO22" s="67" t="str">
        <f ca="1">IFERROR(IF(ISNUMBER(AG22),INDEX('1.Locations'!L2:L32,AG22 + 1) + AO21," ")," ")</f>
        <v xml:space="preserve"> </v>
      </c>
      <c r="AP22" s="67" t="str">
        <f ca="1">IFERROR(IF(ISNUMBER(AG22),INDEX('1.Locations'!J2:J32,AG22 + 1)," ")," ")</f>
        <v xml:space="preserve"> </v>
      </c>
      <c r="AQ22" s="67" t="str">
        <f ca="1">IFERROR(IF(ISNUMBER(AG22),INDEX('1.Locations'!K2:K32,AG22 + 1)," ")," ")</f>
        <v xml:space="preserve"> </v>
      </c>
      <c r="AR22" s="67" t="str">
        <f ca="1">IFERROR(IF(ISNUMBER(AG22),SUM(AP5:AP22) + SUM(AQ23:AQ36)," ")," ")</f>
        <v xml:space="preserve"> </v>
      </c>
      <c r="AT22" s="17">
        <v>17</v>
      </c>
      <c r="AU22" s="18"/>
      <c r="AV22" s="67" t="str">
        <f ca="1">IFERROR(MATCH(INDIRECT("AU22"),'1.Locations'!B2:B32, 0) - 1," ")</f>
        <v xml:space="preserve"> </v>
      </c>
      <c r="AW22" s="67" t="e">
        <f ca="1">IFERROR(IF(ISNUMBER(AV22),INDEX('1.Locations'!D2:D32,AV22 + 1),NA()),NA())</f>
        <v>#N/A</v>
      </c>
      <c r="AX22" s="67" t="e">
        <f ca="1">IFERROR(IF(ISNUMBER(AV22),INDEX('1.Locations'!E2:E32,AV22 + 1),NA()),NA())</f>
        <v>#N/A</v>
      </c>
      <c r="AY22" s="68" t="str">
        <f ca="1">IFERROR(IF(ISNUMBER(AV22),INDEX('2.Distances'!C2:C962,AV21*31+AV22+ 1) +AY21," ")," ")</f>
        <v xml:space="preserve"> </v>
      </c>
      <c r="AZ22" s="69" t="str">
        <f ca="1">IFERROR(IF(ISNUMBER(AV22),INDEX('2.Distances'!D2:D962,AV21*31+AV22 + 1) +AZ21," ")," ")</f>
        <v xml:space="preserve"> </v>
      </c>
      <c r="BA22" s="70" t="str">
        <f ca="1">IFERROR(IF(ISNUMBER(AV22),INDEX('2.Distances'!D2:D962,AV21*31+AV22 + 1) +BB21," ")," ")</f>
        <v xml:space="preserve"> </v>
      </c>
      <c r="BB22" s="70" t="str">
        <f ca="1">IFERROR(IF(AND(AV5&lt;&gt;AV22,ISNUMBER(BA22)),INDEX('1.Locations'!I2:I32,AV22 + 1) + MAX(BA22,INDEX('1.Locations'!F2:F32,AV22 + 1))," ")," ")</f>
        <v xml:space="preserve"> </v>
      </c>
      <c r="BC22" s="69" t="str">
        <f ca="1">IFERROR(IF(AV5 = AV22, BA22 - BB5, BB22 - BB5)," ")</f>
        <v xml:space="preserve"> </v>
      </c>
      <c r="BD22" s="67" t="str">
        <f ca="1">IFERROR(IF(ISNUMBER(AV22),INDEX('1.Locations'!L2:L32,AV22 + 1) + BD21," ")," ")</f>
        <v xml:space="preserve"> </v>
      </c>
      <c r="BE22" s="67" t="str">
        <f ca="1">IFERROR(IF(ISNUMBER(AV22),INDEX('1.Locations'!J2:J32,AV22 + 1)," ")," ")</f>
        <v xml:space="preserve"> </v>
      </c>
      <c r="BF22" s="67" t="str">
        <f ca="1">IFERROR(IF(ISNUMBER(AV22),INDEX('1.Locations'!K2:K32,AV22 + 1)," ")," ")</f>
        <v xml:space="preserve"> </v>
      </c>
      <c r="BG22" s="67" t="str">
        <f ca="1">IFERROR(IF(ISNUMBER(AV22),SUM(BE5:BE22) + SUM(BF23:BF36)," ")," ")</f>
        <v xml:space="preserve"> </v>
      </c>
      <c r="BI22" s="17">
        <v>17</v>
      </c>
      <c r="BJ22" s="18"/>
      <c r="BK22" s="67" t="str">
        <f ca="1">IFERROR(MATCH(INDIRECT("BJ22"),'1.Locations'!B2:B32, 0) - 1," ")</f>
        <v xml:space="preserve"> </v>
      </c>
      <c r="BL22" s="67" t="e">
        <f ca="1">IFERROR(IF(ISNUMBER(BK22),INDEX('1.Locations'!D2:D32,BK22 + 1),NA()),NA())</f>
        <v>#N/A</v>
      </c>
      <c r="BM22" s="67" t="e">
        <f ca="1">IFERROR(IF(ISNUMBER(BK22),INDEX('1.Locations'!E2:E32,BK22 + 1),NA()),NA())</f>
        <v>#N/A</v>
      </c>
      <c r="BN22" s="68" t="str">
        <f ca="1">IFERROR(IF(ISNUMBER(BK22),INDEX('2.Distances'!C2:C962,BK21*31+BK22+ 1) +BN21," ")," ")</f>
        <v xml:space="preserve"> </v>
      </c>
      <c r="BO22" s="69" t="str">
        <f ca="1">IFERROR(IF(ISNUMBER(BK22),INDEX('2.Distances'!D2:D962,BK21*31+BK22 + 1) +BO21," ")," ")</f>
        <v xml:space="preserve"> </v>
      </c>
      <c r="BP22" s="70" t="str">
        <f ca="1">IFERROR(IF(ISNUMBER(BK22),INDEX('2.Distances'!D2:D962,BK21*31+BK22 + 1) +BQ21," ")," ")</f>
        <v xml:space="preserve"> </v>
      </c>
      <c r="BQ22" s="70" t="str">
        <f ca="1">IFERROR(IF(AND(BK5&lt;&gt;BK22,ISNUMBER(BP22)),INDEX('1.Locations'!I2:I32,BK22 + 1) + MAX(BP22,INDEX('1.Locations'!F2:F32,BK22 + 1))," ")," ")</f>
        <v xml:space="preserve"> </v>
      </c>
      <c r="BR22" s="69" t="str">
        <f ca="1">IFERROR(IF(BK5 = BK22, BP22 - BQ5, BQ22 - BQ5)," ")</f>
        <v xml:space="preserve"> </v>
      </c>
      <c r="BS22" s="67" t="str">
        <f ca="1">IFERROR(IF(ISNUMBER(BK22),INDEX('1.Locations'!L2:L32,BK22 + 1) + BS21," ")," ")</f>
        <v xml:space="preserve"> </v>
      </c>
      <c r="BT22" s="67" t="str">
        <f ca="1">IFERROR(IF(ISNUMBER(BK22),INDEX('1.Locations'!J2:J32,BK22 + 1)," ")," ")</f>
        <v xml:space="preserve"> </v>
      </c>
      <c r="BU22" s="67" t="str">
        <f ca="1">IFERROR(IF(ISNUMBER(BK22),INDEX('1.Locations'!K2:K32,BK22 + 1)," ")," ")</f>
        <v xml:space="preserve"> </v>
      </c>
      <c r="BV22" s="67" t="str">
        <f ca="1">IFERROR(IF(ISNUMBER(BK22),SUM(BT5:BT22) + SUM(BU23:BU36)," ")," ")</f>
        <v xml:space="preserve"> </v>
      </c>
      <c r="BX22" s="17">
        <v>17</v>
      </c>
      <c r="BY22" s="18"/>
      <c r="BZ22" s="67" t="str">
        <f ca="1">IFERROR(MATCH(INDIRECT("BY22"),'1.Locations'!B2:B32, 0) - 1," ")</f>
        <v xml:space="preserve"> </v>
      </c>
      <c r="CA22" s="67" t="e">
        <f ca="1">IFERROR(IF(ISNUMBER(BZ22),INDEX('1.Locations'!D2:D32,BZ22 + 1),NA()),NA())</f>
        <v>#N/A</v>
      </c>
      <c r="CB22" s="67" t="e">
        <f ca="1">IFERROR(IF(ISNUMBER(BZ22),INDEX('1.Locations'!E2:E32,BZ22 + 1),NA()),NA())</f>
        <v>#N/A</v>
      </c>
      <c r="CC22" s="68" t="str">
        <f ca="1">IFERROR(IF(ISNUMBER(BZ22),INDEX('2.Distances'!C2:C962,BZ21*31+BZ22+ 1) +CC21," ")," ")</f>
        <v xml:space="preserve"> </v>
      </c>
      <c r="CD22" s="69" t="str">
        <f ca="1">IFERROR(IF(ISNUMBER(BZ22),INDEX('2.Distances'!D2:D962,BZ21*31+BZ22 + 1) +CD21," ")," ")</f>
        <v xml:space="preserve"> </v>
      </c>
      <c r="CE22" s="70" t="str">
        <f ca="1">IFERROR(IF(ISNUMBER(BZ22),INDEX('2.Distances'!D2:D962,BZ21*31+BZ22 + 1) +CF21," ")," ")</f>
        <v xml:space="preserve"> </v>
      </c>
      <c r="CF22" s="70" t="str">
        <f ca="1">IFERROR(IF(AND(BZ5&lt;&gt;BZ22,ISNUMBER(CE22)),INDEX('1.Locations'!I2:I32,BZ22 + 1) + MAX(CE22,INDEX('1.Locations'!F2:F32,BZ22 + 1))," ")," ")</f>
        <v xml:space="preserve"> </v>
      </c>
      <c r="CG22" s="69" t="str">
        <f ca="1">IFERROR(IF(BZ5 = BZ22, CE22 - CF5, CF22 - CF5)," ")</f>
        <v xml:space="preserve"> </v>
      </c>
      <c r="CH22" s="67" t="str">
        <f ca="1">IFERROR(IF(ISNUMBER(BZ22),INDEX('1.Locations'!L2:L32,BZ22 + 1) + CH21," ")," ")</f>
        <v xml:space="preserve"> </v>
      </c>
      <c r="CI22" s="67" t="str">
        <f ca="1">IFERROR(IF(ISNUMBER(BZ22),INDEX('1.Locations'!J2:J32,BZ22 + 1)," ")," ")</f>
        <v xml:space="preserve"> </v>
      </c>
      <c r="CJ22" s="67" t="str">
        <f ca="1">IFERROR(IF(ISNUMBER(BZ22),INDEX('1.Locations'!K2:K32,BZ22 + 1)," ")," ")</f>
        <v xml:space="preserve"> </v>
      </c>
      <c r="CK22" s="67" t="str">
        <f ca="1">IFERROR(IF(ISNUMBER(BZ22),SUM(CI5:CI22) + SUM(CJ23:CJ36)," ")," ")</f>
        <v xml:space="preserve"> </v>
      </c>
      <c r="CM22" s="17">
        <v>17</v>
      </c>
      <c r="CN22" s="18"/>
      <c r="CO22" s="67" t="str">
        <f ca="1">IFERROR(MATCH(INDIRECT("CN22"),'1.Locations'!B2:B32, 0) - 1," ")</f>
        <v xml:space="preserve"> </v>
      </c>
      <c r="CP22" s="67" t="e">
        <f ca="1">IFERROR(IF(ISNUMBER(CO22),INDEX('1.Locations'!D2:D32,CO22 + 1),NA()),NA())</f>
        <v>#N/A</v>
      </c>
      <c r="CQ22" s="67" t="e">
        <f ca="1">IFERROR(IF(ISNUMBER(CO22),INDEX('1.Locations'!E2:E32,CO22 + 1),NA()),NA())</f>
        <v>#N/A</v>
      </c>
      <c r="CR22" s="68" t="str">
        <f ca="1">IFERROR(IF(ISNUMBER(CO22),INDEX('2.Distances'!C2:C962,CO21*31+CO22+ 1) +CR21," ")," ")</f>
        <v xml:space="preserve"> </v>
      </c>
      <c r="CS22" s="69" t="str">
        <f ca="1">IFERROR(IF(ISNUMBER(CO22),INDEX('2.Distances'!D2:D962,CO21*31+CO22 + 1) +CS21," ")," ")</f>
        <v xml:space="preserve"> </v>
      </c>
      <c r="CT22" s="70" t="str">
        <f ca="1">IFERROR(IF(ISNUMBER(CO22),INDEX('2.Distances'!D2:D962,CO21*31+CO22 + 1) +CU21," ")," ")</f>
        <v xml:space="preserve"> </v>
      </c>
      <c r="CU22" s="70" t="str">
        <f ca="1">IFERROR(IF(AND(CO5&lt;&gt;CO22,ISNUMBER(CT22)),INDEX('1.Locations'!I2:I32,CO22 + 1) + MAX(CT22,INDEX('1.Locations'!F2:F32,CO22 + 1))," ")," ")</f>
        <v xml:space="preserve"> </v>
      </c>
      <c r="CV22" s="69" t="str">
        <f ca="1">IFERROR(IF(CO5 = CO22, CT22 - CU5, CU22 - CU5)," ")</f>
        <v xml:space="preserve"> </v>
      </c>
      <c r="CW22" s="67" t="str">
        <f ca="1">IFERROR(IF(ISNUMBER(CO22),INDEX('1.Locations'!L2:L32,CO22 + 1) + CW21," ")," ")</f>
        <v xml:space="preserve"> </v>
      </c>
      <c r="CX22" s="67" t="str">
        <f ca="1">IFERROR(IF(ISNUMBER(CO22),INDEX('1.Locations'!J2:J32,CO22 + 1)," ")," ")</f>
        <v xml:space="preserve"> </v>
      </c>
      <c r="CY22" s="67" t="str">
        <f ca="1">IFERROR(IF(ISNUMBER(CO22),INDEX('1.Locations'!K2:K32,CO22 + 1)," ")," ")</f>
        <v xml:space="preserve"> </v>
      </c>
      <c r="CZ22" s="67" t="str">
        <f ca="1">IFERROR(IF(ISNUMBER(CO22),SUM(CX5:CX22) + SUM(CY23:CY36)," ")," ")</f>
        <v xml:space="preserve"> </v>
      </c>
      <c r="DB22" s="17">
        <v>17</v>
      </c>
      <c r="DC22" s="18"/>
      <c r="DD22" s="67" t="str">
        <f ca="1">IFERROR(MATCH(INDIRECT("DC22"),'1.Locations'!B2:B32, 0) - 1," ")</f>
        <v xml:space="preserve"> </v>
      </c>
      <c r="DE22" s="67" t="e">
        <f ca="1">IFERROR(IF(ISNUMBER(DD22),INDEX('1.Locations'!D2:D32,DD22 + 1),NA()),NA())</f>
        <v>#N/A</v>
      </c>
      <c r="DF22" s="67" t="e">
        <f ca="1">IFERROR(IF(ISNUMBER(DD22),INDEX('1.Locations'!E2:E32,DD22 + 1),NA()),NA())</f>
        <v>#N/A</v>
      </c>
      <c r="DG22" s="68" t="str">
        <f ca="1">IFERROR(IF(ISNUMBER(DD22),INDEX('2.Distances'!C2:C962,DD21*31+DD22+ 1) +DG21," ")," ")</f>
        <v xml:space="preserve"> </v>
      </c>
      <c r="DH22" s="69" t="str">
        <f ca="1">IFERROR(IF(ISNUMBER(DD22),INDEX('2.Distances'!D2:D962,DD21*31+DD22 + 1) +DH21," ")," ")</f>
        <v xml:space="preserve"> </v>
      </c>
      <c r="DI22" s="70" t="str">
        <f ca="1">IFERROR(IF(ISNUMBER(DD22),INDEX('2.Distances'!D2:D962,DD21*31+DD22 + 1) +DJ21," ")," ")</f>
        <v xml:space="preserve"> </v>
      </c>
      <c r="DJ22" s="70" t="str">
        <f ca="1">IFERROR(IF(AND(DD5&lt;&gt;DD22,ISNUMBER(DI22)),INDEX('1.Locations'!I2:I32,DD22 + 1) + MAX(DI22,INDEX('1.Locations'!F2:F32,DD22 + 1))," ")," ")</f>
        <v xml:space="preserve"> </v>
      </c>
      <c r="DK22" s="69" t="str">
        <f ca="1">IFERROR(IF(DD5 = DD22, DI22 - DJ5, DJ22 - DJ5)," ")</f>
        <v xml:space="preserve"> </v>
      </c>
      <c r="DL22" s="67" t="str">
        <f ca="1">IFERROR(IF(ISNUMBER(DD22),INDEX('1.Locations'!L2:L32,DD22 + 1) + DL21," ")," ")</f>
        <v xml:space="preserve"> </v>
      </c>
      <c r="DM22" s="67" t="str">
        <f ca="1">IFERROR(IF(ISNUMBER(DD22),INDEX('1.Locations'!J2:J32,DD22 + 1)," ")," ")</f>
        <v xml:space="preserve"> </v>
      </c>
      <c r="DN22" s="67" t="str">
        <f ca="1">IFERROR(IF(ISNUMBER(DD22),INDEX('1.Locations'!K2:K32,DD22 + 1)," ")," ")</f>
        <v xml:space="preserve"> </v>
      </c>
      <c r="DO22" s="67" t="str">
        <f ca="1">IFERROR(IF(ISNUMBER(DD22),SUM(DM5:DM22) + SUM(DN23:DN36)," ")," ")</f>
        <v xml:space="preserve"> </v>
      </c>
      <c r="DQ22" s="17">
        <v>17</v>
      </c>
      <c r="DR22" s="18"/>
      <c r="DS22" s="67" t="str">
        <f ca="1">IFERROR(MATCH(INDIRECT("DR22"),'1.Locations'!B2:B32, 0) - 1," ")</f>
        <v xml:space="preserve"> </v>
      </c>
      <c r="DT22" s="67" t="e">
        <f ca="1">IFERROR(IF(ISNUMBER(DS22),INDEX('1.Locations'!D2:D32,DS22 + 1),NA()),NA())</f>
        <v>#N/A</v>
      </c>
      <c r="DU22" s="67" t="e">
        <f ca="1">IFERROR(IF(ISNUMBER(DS22),INDEX('1.Locations'!E2:E32,DS22 + 1),NA()),NA())</f>
        <v>#N/A</v>
      </c>
      <c r="DV22" s="68" t="str">
        <f ca="1">IFERROR(IF(ISNUMBER(DS22),INDEX('2.Distances'!C2:C962,DS21*31+DS22+ 1) +DV21," ")," ")</f>
        <v xml:space="preserve"> </v>
      </c>
      <c r="DW22" s="69" t="str">
        <f ca="1">IFERROR(IF(ISNUMBER(DS22),INDEX('2.Distances'!D2:D962,DS21*31+DS22 + 1) +DW21," ")," ")</f>
        <v xml:space="preserve"> </v>
      </c>
      <c r="DX22" s="70" t="str">
        <f ca="1">IFERROR(IF(ISNUMBER(DS22),INDEX('2.Distances'!D2:D962,DS21*31+DS22 + 1) +DY21," ")," ")</f>
        <v xml:space="preserve"> </v>
      </c>
      <c r="DY22" s="70" t="str">
        <f ca="1">IFERROR(IF(AND(DS5&lt;&gt;DS22,ISNUMBER(DX22)),INDEX('1.Locations'!I2:I32,DS22 + 1) + MAX(DX22,INDEX('1.Locations'!F2:F32,DS22 + 1))," ")," ")</f>
        <v xml:space="preserve"> </v>
      </c>
      <c r="DZ22" s="69" t="str">
        <f ca="1">IFERROR(IF(DS5 = DS22, DX22 - DY5, DY22 - DY5)," ")</f>
        <v xml:space="preserve"> </v>
      </c>
      <c r="EA22" s="67" t="str">
        <f ca="1">IFERROR(IF(ISNUMBER(DS22),INDEX('1.Locations'!L2:L32,DS22 + 1) + EA21," ")," ")</f>
        <v xml:space="preserve"> </v>
      </c>
      <c r="EB22" s="67" t="str">
        <f ca="1">IFERROR(IF(ISNUMBER(DS22),INDEX('1.Locations'!J2:J32,DS22 + 1)," ")," ")</f>
        <v xml:space="preserve"> </v>
      </c>
      <c r="EC22" s="67" t="str">
        <f ca="1">IFERROR(IF(ISNUMBER(DS22),INDEX('1.Locations'!K2:K32,DS22 + 1)," ")," ")</f>
        <v xml:space="preserve"> </v>
      </c>
      <c r="ED22" s="67" t="str">
        <f ca="1">IFERROR(IF(ISNUMBER(DS22),SUM(EB5:EB22) + SUM(EC23:EC36)," ")," ")</f>
        <v xml:space="preserve"> </v>
      </c>
      <c r="EF22" s="17">
        <v>17</v>
      </c>
      <c r="EG22" s="18"/>
      <c r="EH22" s="67" t="str">
        <f ca="1">IFERROR(MATCH(INDIRECT("EG22"),'1.Locations'!B2:B32, 0) - 1," ")</f>
        <v xml:space="preserve"> </v>
      </c>
      <c r="EI22" s="67" t="e">
        <f ca="1">IFERROR(IF(ISNUMBER(EH22),INDEX('1.Locations'!D2:D32,EH22 + 1),NA()),NA())</f>
        <v>#N/A</v>
      </c>
      <c r="EJ22" s="67" t="e">
        <f ca="1">IFERROR(IF(ISNUMBER(EH22),INDEX('1.Locations'!E2:E32,EH22 + 1),NA()),NA())</f>
        <v>#N/A</v>
      </c>
      <c r="EK22" s="68" t="str">
        <f ca="1">IFERROR(IF(ISNUMBER(EH22),INDEX('2.Distances'!C2:C962,EH21*31+EH22+ 1) +EK21," ")," ")</f>
        <v xml:space="preserve"> </v>
      </c>
      <c r="EL22" s="69" t="str">
        <f ca="1">IFERROR(IF(ISNUMBER(EH22),INDEX('2.Distances'!D2:D962,EH21*31+EH22 + 1) +EL21," ")," ")</f>
        <v xml:space="preserve"> </v>
      </c>
      <c r="EM22" s="70" t="str">
        <f ca="1">IFERROR(IF(ISNUMBER(EH22),INDEX('2.Distances'!D2:D962,EH21*31+EH22 + 1) +EN21," ")," ")</f>
        <v xml:space="preserve"> </v>
      </c>
      <c r="EN22" s="70" t="str">
        <f ca="1">IFERROR(IF(AND(EH5&lt;&gt;EH22,ISNUMBER(EM22)),INDEX('1.Locations'!I2:I32,EH22 + 1) + MAX(EM22,INDEX('1.Locations'!F2:F32,EH22 + 1))," ")," ")</f>
        <v xml:space="preserve"> </v>
      </c>
      <c r="EO22" s="69" t="str">
        <f ca="1">IFERROR(IF(EH5 = EH22, EM22 - EN5, EN22 - EN5)," ")</f>
        <v xml:space="preserve"> </v>
      </c>
      <c r="EP22" s="67" t="str">
        <f ca="1">IFERROR(IF(ISNUMBER(EH22),INDEX('1.Locations'!L2:L32,EH22 + 1) + EP21," ")," ")</f>
        <v xml:space="preserve"> </v>
      </c>
      <c r="EQ22" s="67" t="str">
        <f ca="1">IFERROR(IF(ISNUMBER(EH22),INDEX('1.Locations'!J2:J32,EH22 + 1)," ")," ")</f>
        <v xml:space="preserve"> </v>
      </c>
      <c r="ER22" s="67" t="str">
        <f ca="1">IFERROR(IF(ISNUMBER(EH22),INDEX('1.Locations'!K2:K32,EH22 + 1)," ")," ")</f>
        <v xml:space="preserve"> </v>
      </c>
      <c r="ES22" s="67" t="str">
        <f ca="1">IFERROR(IF(ISNUMBER(EH22),SUM(EQ5:EQ22) + SUM(ER23:ER36)," ")," ")</f>
        <v xml:space="preserve"> </v>
      </c>
    </row>
    <row r="23" spans="1:149" x14ac:dyDescent="0.25">
      <c r="A23" s="17">
        <v>18</v>
      </c>
      <c r="B23" s="21"/>
      <c r="C23" s="67" t="str">
        <f ca="1">IFERROR(MATCH(INDIRECT("B23"),'1.Locations'!B2:B32, 0) - 1," ")</f>
        <v xml:space="preserve"> </v>
      </c>
      <c r="D23" s="67" t="e">
        <f ca="1">IFERROR(IF(ISNUMBER(C23),INDEX('1.Locations'!D2:D32,C23 + 1),NA()),NA())</f>
        <v>#N/A</v>
      </c>
      <c r="E23" s="67" t="e">
        <f ca="1">IFERROR(IF(ISNUMBER(C23),INDEX('1.Locations'!E2:E32,C23 + 1),NA()),NA())</f>
        <v>#N/A</v>
      </c>
      <c r="F23" s="68" t="str">
        <f ca="1">IFERROR(IF(ISNUMBER(C23),INDEX('2.Distances'!C2:C962,C22*31+C23+ 1) +F22," ")," ")</f>
        <v xml:space="preserve"> </v>
      </c>
      <c r="G23" s="69" t="str">
        <f ca="1">IFERROR(IF(ISNUMBER(C23),INDEX('2.Distances'!D2:D962,C22*31+C23 + 1) +G22," ")," ")</f>
        <v xml:space="preserve"> </v>
      </c>
      <c r="H23" s="70" t="str">
        <f ca="1">IFERROR(IF(ISNUMBER(C23),INDEX('2.Distances'!D2:D962,C22*31+C23 + 1) +I22," ")," ")</f>
        <v xml:space="preserve"> </v>
      </c>
      <c r="I23" s="70" t="str">
        <f ca="1">IFERROR(IF(AND(C5&lt;&gt;C23,ISNUMBER(H23)),INDEX('1.Locations'!I2:I32,C23 + 1) + MAX(H23,INDEX('1.Locations'!F2:F32,C23 + 1))," ")," ")</f>
        <v xml:space="preserve"> </v>
      </c>
      <c r="J23" s="69" t="str">
        <f ca="1">IFERROR(IF(C5 = C23, H23 - I5, I23 - I5)," ")</f>
        <v xml:space="preserve"> </v>
      </c>
      <c r="K23" s="67" t="str">
        <f ca="1">IFERROR(IF(ISNUMBER(C23),INDEX('1.Locations'!L2:L32,C23 + 1) + K22," ")," ")</f>
        <v xml:space="preserve"> </v>
      </c>
      <c r="L23" s="67" t="str">
        <f ca="1">IFERROR(IF(ISNUMBER(C23),INDEX('1.Locations'!J2:J32,C23 + 1)," ")," ")</f>
        <v xml:space="preserve"> </v>
      </c>
      <c r="M23" s="67" t="str">
        <f ca="1">IFERROR(IF(ISNUMBER(C23),INDEX('1.Locations'!K2:K32,C23 + 1)," ")," ")</f>
        <v xml:space="preserve"> </v>
      </c>
      <c r="N23" s="67" t="str">
        <f ca="1">IFERROR(IF(ISNUMBER(C23),SUM(L5:L23) + SUM(M24:M36)," ")," ")</f>
        <v xml:space="preserve"> </v>
      </c>
      <c r="P23" s="17">
        <v>18</v>
      </c>
      <c r="Q23" s="21"/>
      <c r="R23" s="67" t="str">
        <f ca="1">IFERROR(MATCH(INDIRECT("Q23"),'1.Locations'!B2:B32, 0) - 1," ")</f>
        <v xml:space="preserve"> </v>
      </c>
      <c r="S23" s="67" t="e">
        <f ca="1">IFERROR(IF(ISNUMBER(R23),INDEX('1.Locations'!D2:D32,R23 + 1),NA()),NA())</f>
        <v>#N/A</v>
      </c>
      <c r="T23" s="67" t="e">
        <f ca="1">IFERROR(IF(ISNUMBER(R23),INDEX('1.Locations'!E2:E32,R23 + 1),NA()),NA())</f>
        <v>#N/A</v>
      </c>
      <c r="U23" s="68" t="str">
        <f ca="1">IFERROR(IF(ISNUMBER(R23),INDEX('2.Distances'!C2:C962,R22*31+R23+ 1) +U22," ")," ")</f>
        <v xml:space="preserve"> </v>
      </c>
      <c r="V23" s="69" t="str">
        <f ca="1">IFERROR(IF(ISNUMBER(R23),INDEX('2.Distances'!D2:D962,R22*31+R23 + 1) +V22," ")," ")</f>
        <v xml:space="preserve"> </v>
      </c>
      <c r="W23" s="70" t="str">
        <f ca="1">IFERROR(IF(ISNUMBER(R23),INDEX('2.Distances'!D2:D962,R22*31+R23 + 1) +X22," ")," ")</f>
        <v xml:space="preserve"> </v>
      </c>
      <c r="X23" s="70" t="str">
        <f ca="1">IFERROR(IF(AND(R5&lt;&gt;R23,ISNUMBER(W23)),INDEX('1.Locations'!I2:I32,R23 + 1) + MAX(W23,INDEX('1.Locations'!F2:F32,R23 + 1))," ")," ")</f>
        <v xml:space="preserve"> </v>
      </c>
      <c r="Y23" s="69" t="str">
        <f ca="1">IFERROR(IF(R5 = R23, W23 - X5, X23 - X5)," ")</f>
        <v xml:space="preserve"> </v>
      </c>
      <c r="Z23" s="67" t="str">
        <f ca="1">IFERROR(IF(ISNUMBER(R23),INDEX('1.Locations'!L2:L32,R23 + 1) + Z22," ")," ")</f>
        <v xml:space="preserve"> </v>
      </c>
      <c r="AA23" s="67" t="str">
        <f ca="1">IFERROR(IF(ISNUMBER(R23),INDEX('1.Locations'!J2:J32,R23 + 1)," ")," ")</f>
        <v xml:space="preserve"> </v>
      </c>
      <c r="AB23" s="67" t="str">
        <f ca="1">IFERROR(IF(ISNUMBER(R23),INDEX('1.Locations'!K2:K32,R23 + 1)," ")," ")</f>
        <v xml:space="preserve"> </v>
      </c>
      <c r="AC23" s="67" t="str">
        <f ca="1">IFERROR(IF(ISNUMBER(R23),SUM(AA5:AA23) + SUM(AB24:AB36)," ")," ")</f>
        <v xml:space="preserve"> </v>
      </c>
      <c r="AE23" s="17">
        <v>18</v>
      </c>
      <c r="AF23" s="21"/>
      <c r="AG23" s="67" t="str">
        <f ca="1">IFERROR(MATCH(INDIRECT("AF23"),'1.Locations'!B2:B32, 0) - 1," ")</f>
        <v xml:space="preserve"> </v>
      </c>
      <c r="AH23" s="67" t="e">
        <f ca="1">IFERROR(IF(ISNUMBER(AG23),INDEX('1.Locations'!D2:D32,AG23 + 1),NA()),NA())</f>
        <v>#N/A</v>
      </c>
      <c r="AI23" s="67" t="e">
        <f ca="1">IFERROR(IF(ISNUMBER(AG23),INDEX('1.Locations'!E2:E32,AG23 + 1),NA()),NA())</f>
        <v>#N/A</v>
      </c>
      <c r="AJ23" s="68" t="str">
        <f ca="1">IFERROR(IF(ISNUMBER(AG23),INDEX('2.Distances'!C2:C962,AG22*31+AG23+ 1) +AJ22," ")," ")</f>
        <v xml:space="preserve"> </v>
      </c>
      <c r="AK23" s="69" t="str">
        <f ca="1">IFERROR(IF(ISNUMBER(AG23),INDEX('2.Distances'!D2:D962,AG22*31+AG23 + 1) +AK22," ")," ")</f>
        <v xml:space="preserve"> </v>
      </c>
      <c r="AL23" s="70" t="str">
        <f ca="1">IFERROR(IF(ISNUMBER(AG23),INDEX('2.Distances'!D2:D962,AG22*31+AG23 + 1) +AM22," ")," ")</f>
        <v xml:space="preserve"> </v>
      </c>
      <c r="AM23" s="70" t="str">
        <f ca="1">IFERROR(IF(AND(AG5&lt;&gt;AG23,ISNUMBER(AL23)),INDEX('1.Locations'!I2:I32,AG23 + 1) + MAX(AL23,INDEX('1.Locations'!F2:F32,AG23 + 1))," ")," ")</f>
        <v xml:space="preserve"> </v>
      </c>
      <c r="AN23" s="69" t="str">
        <f ca="1">IFERROR(IF(AG5 = AG23, AL23 - AM5, AM23 - AM5)," ")</f>
        <v xml:space="preserve"> </v>
      </c>
      <c r="AO23" s="67" t="str">
        <f ca="1">IFERROR(IF(ISNUMBER(AG23),INDEX('1.Locations'!L2:L32,AG23 + 1) + AO22," ")," ")</f>
        <v xml:space="preserve"> </v>
      </c>
      <c r="AP23" s="67" t="str">
        <f ca="1">IFERROR(IF(ISNUMBER(AG23),INDEX('1.Locations'!J2:J32,AG23 + 1)," ")," ")</f>
        <v xml:space="preserve"> </v>
      </c>
      <c r="AQ23" s="67" t="str">
        <f ca="1">IFERROR(IF(ISNUMBER(AG23),INDEX('1.Locations'!K2:K32,AG23 + 1)," ")," ")</f>
        <v xml:space="preserve"> </v>
      </c>
      <c r="AR23" s="67" t="str">
        <f ca="1">IFERROR(IF(ISNUMBER(AG23),SUM(AP5:AP23) + SUM(AQ24:AQ36)," ")," ")</f>
        <v xml:space="preserve"> </v>
      </c>
      <c r="AT23" s="17">
        <v>18</v>
      </c>
      <c r="AU23" s="21"/>
      <c r="AV23" s="67" t="str">
        <f ca="1">IFERROR(MATCH(INDIRECT("AU23"),'1.Locations'!B2:B32, 0) - 1," ")</f>
        <v xml:space="preserve"> </v>
      </c>
      <c r="AW23" s="67" t="e">
        <f ca="1">IFERROR(IF(ISNUMBER(AV23),INDEX('1.Locations'!D2:D32,AV23 + 1),NA()),NA())</f>
        <v>#N/A</v>
      </c>
      <c r="AX23" s="67" t="e">
        <f ca="1">IFERROR(IF(ISNUMBER(AV23),INDEX('1.Locations'!E2:E32,AV23 + 1),NA()),NA())</f>
        <v>#N/A</v>
      </c>
      <c r="AY23" s="68" t="str">
        <f ca="1">IFERROR(IF(ISNUMBER(AV23),INDEX('2.Distances'!C2:C962,AV22*31+AV23+ 1) +AY22," ")," ")</f>
        <v xml:space="preserve"> </v>
      </c>
      <c r="AZ23" s="69" t="str">
        <f ca="1">IFERROR(IF(ISNUMBER(AV23),INDEX('2.Distances'!D2:D962,AV22*31+AV23 + 1) +AZ22," ")," ")</f>
        <v xml:space="preserve"> </v>
      </c>
      <c r="BA23" s="70" t="str">
        <f ca="1">IFERROR(IF(ISNUMBER(AV23),INDEX('2.Distances'!D2:D962,AV22*31+AV23 + 1) +BB22," ")," ")</f>
        <v xml:space="preserve"> </v>
      </c>
      <c r="BB23" s="70" t="str">
        <f ca="1">IFERROR(IF(AND(AV5&lt;&gt;AV23,ISNUMBER(BA23)),INDEX('1.Locations'!I2:I32,AV23 + 1) + MAX(BA23,INDEX('1.Locations'!F2:F32,AV23 + 1))," ")," ")</f>
        <v xml:space="preserve"> </v>
      </c>
      <c r="BC23" s="69" t="str">
        <f ca="1">IFERROR(IF(AV5 = AV23, BA23 - BB5, BB23 - BB5)," ")</f>
        <v xml:space="preserve"> </v>
      </c>
      <c r="BD23" s="67" t="str">
        <f ca="1">IFERROR(IF(ISNUMBER(AV23),INDEX('1.Locations'!L2:L32,AV23 + 1) + BD22," ")," ")</f>
        <v xml:space="preserve"> </v>
      </c>
      <c r="BE23" s="67" t="str">
        <f ca="1">IFERROR(IF(ISNUMBER(AV23),INDEX('1.Locations'!J2:J32,AV23 + 1)," ")," ")</f>
        <v xml:space="preserve"> </v>
      </c>
      <c r="BF23" s="67" t="str">
        <f ca="1">IFERROR(IF(ISNUMBER(AV23),INDEX('1.Locations'!K2:K32,AV23 + 1)," ")," ")</f>
        <v xml:space="preserve"> </v>
      </c>
      <c r="BG23" s="67" t="str">
        <f ca="1">IFERROR(IF(ISNUMBER(AV23),SUM(BE5:BE23) + SUM(BF24:BF36)," ")," ")</f>
        <v xml:space="preserve"> </v>
      </c>
      <c r="BI23" s="17">
        <v>18</v>
      </c>
      <c r="BJ23" s="21"/>
      <c r="BK23" s="67" t="str">
        <f ca="1">IFERROR(MATCH(INDIRECT("BJ23"),'1.Locations'!B2:B32, 0) - 1," ")</f>
        <v xml:space="preserve"> </v>
      </c>
      <c r="BL23" s="67" t="e">
        <f ca="1">IFERROR(IF(ISNUMBER(BK23),INDEX('1.Locations'!D2:D32,BK23 + 1),NA()),NA())</f>
        <v>#N/A</v>
      </c>
      <c r="BM23" s="67" t="e">
        <f ca="1">IFERROR(IF(ISNUMBER(BK23),INDEX('1.Locations'!E2:E32,BK23 + 1),NA()),NA())</f>
        <v>#N/A</v>
      </c>
      <c r="BN23" s="68" t="str">
        <f ca="1">IFERROR(IF(ISNUMBER(BK23),INDEX('2.Distances'!C2:C962,BK22*31+BK23+ 1) +BN22," ")," ")</f>
        <v xml:space="preserve"> </v>
      </c>
      <c r="BO23" s="69" t="str">
        <f ca="1">IFERROR(IF(ISNUMBER(BK23),INDEX('2.Distances'!D2:D962,BK22*31+BK23 + 1) +BO22," ")," ")</f>
        <v xml:space="preserve"> </v>
      </c>
      <c r="BP23" s="70" t="str">
        <f ca="1">IFERROR(IF(ISNUMBER(BK23),INDEX('2.Distances'!D2:D962,BK22*31+BK23 + 1) +BQ22," ")," ")</f>
        <v xml:space="preserve"> </v>
      </c>
      <c r="BQ23" s="70" t="str">
        <f ca="1">IFERROR(IF(AND(BK5&lt;&gt;BK23,ISNUMBER(BP23)),INDEX('1.Locations'!I2:I32,BK23 + 1) + MAX(BP23,INDEX('1.Locations'!F2:F32,BK23 + 1))," ")," ")</f>
        <v xml:space="preserve"> </v>
      </c>
      <c r="BR23" s="69" t="str">
        <f ca="1">IFERROR(IF(BK5 = BK23, BP23 - BQ5, BQ23 - BQ5)," ")</f>
        <v xml:space="preserve"> </v>
      </c>
      <c r="BS23" s="67" t="str">
        <f ca="1">IFERROR(IF(ISNUMBER(BK23),INDEX('1.Locations'!L2:L32,BK23 + 1) + BS22," ")," ")</f>
        <v xml:space="preserve"> </v>
      </c>
      <c r="BT23" s="67" t="str">
        <f ca="1">IFERROR(IF(ISNUMBER(BK23),INDEX('1.Locations'!J2:J32,BK23 + 1)," ")," ")</f>
        <v xml:space="preserve"> </v>
      </c>
      <c r="BU23" s="67" t="str">
        <f ca="1">IFERROR(IF(ISNUMBER(BK23),INDEX('1.Locations'!K2:K32,BK23 + 1)," ")," ")</f>
        <v xml:space="preserve"> </v>
      </c>
      <c r="BV23" s="67" t="str">
        <f ca="1">IFERROR(IF(ISNUMBER(BK23),SUM(BT5:BT23) + SUM(BU24:BU36)," ")," ")</f>
        <v xml:space="preserve"> </v>
      </c>
      <c r="BX23" s="17">
        <v>18</v>
      </c>
      <c r="BY23" s="21"/>
      <c r="BZ23" s="67" t="str">
        <f ca="1">IFERROR(MATCH(INDIRECT("BY23"),'1.Locations'!B2:B32, 0) - 1," ")</f>
        <v xml:space="preserve"> </v>
      </c>
      <c r="CA23" s="67" t="e">
        <f ca="1">IFERROR(IF(ISNUMBER(BZ23),INDEX('1.Locations'!D2:D32,BZ23 + 1),NA()),NA())</f>
        <v>#N/A</v>
      </c>
      <c r="CB23" s="67" t="e">
        <f ca="1">IFERROR(IF(ISNUMBER(BZ23),INDEX('1.Locations'!E2:E32,BZ23 + 1),NA()),NA())</f>
        <v>#N/A</v>
      </c>
      <c r="CC23" s="68" t="str">
        <f ca="1">IFERROR(IF(ISNUMBER(BZ23),INDEX('2.Distances'!C2:C962,BZ22*31+BZ23+ 1) +CC22," ")," ")</f>
        <v xml:space="preserve"> </v>
      </c>
      <c r="CD23" s="69" t="str">
        <f ca="1">IFERROR(IF(ISNUMBER(BZ23),INDEX('2.Distances'!D2:D962,BZ22*31+BZ23 + 1) +CD22," ")," ")</f>
        <v xml:space="preserve"> </v>
      </c>
      <c r="CE23" s="70" t="str">
        <f ca="1">IFERROR(IF(ISNUMBER(BZ23),INDEX('2.Distances'!D2:D962,BZ22*31+BZ23 + 1) +CF22," ")," ")</f>
        <v xml:space="preserve"> </v>
      </c>
      <c r="CF23" s="70" t="str">
        <f ca="1">IFERROR(IF(AND(BZ5&lt;&gt;BZ23,ISNUMBER(CE23)),INDEX('1.Locations'!I2:I32,BZ23 + 1) + MAX(CE23,INDEX('1.Locations'!F2:F32,BZ23 + 1))," ")," ")</f>
        <v xml:space="preserve"> </v>
      </c>
      <c r="CG23" s="69" t="str">
        <f ca="1">IFERROR(IF(BZ5 = BZ23, CE23 - CF5, CF23 - CF5)," ")</f>
        <v xml:space="preserve"> </v>
      </c>
      <c r="CH23" s="67" t="str">
        <f ca="1">IFERROR(IF(ISNUMBER(BZ23),INDEX('1.Locations'!L2:L32,BZ23 + 1) + CH22," ")," ")</f>
        <v xml:space="preserve"> </v>
      </c>
      <c r="CI23" s="67" t="str">
        <f ca="1">IFERROR(IF(ISNUMBER(BZ23),INDEX('1.Locations'!J2:J32,BZ23 + 1)," ")," ")</f>
        <v xml:space="preserve"> </v>
      </c>
      <c r="CJ23" s="67" t="str">
        <f ca="1">IFERROR(IF(ISNUMBER(BZ23),INDEX('1.Locations'!K2:K32,BZ23 + 1)," ")," ")</f>
        <v xml:space="preserve"> </v>
      </c>
      <c r="CK23" s="67" t="str">
        <f ca="1">IFERROR(IF(ISNUMBER(BZ23),SUM(CI5:CI23) + SUM(CJ24:CJ36)," ")," ")</f>
        <v xml:space="preserve"> </v>
      </c>
      <c r="CM23" s="17">
        <v>18</v>
      </c>
      <c r="CN23" s="21"/>
      <c r="CO23" s="67" t="str">
        <f ca="1">IFERROR(MATCH(INDIRECT("CN23"),'1.Locations'!B2:B32, 0) - 1," ")</f>
        <v xml:space="preserve"> </v>
      </c>
      <c r="CP23" s="67" t="e">
        <f ca="1">IFERROR(IF(ISNUMBER(CO23),INDEX('1.Locations'!D2:D32,CO23 + 1),NA()),NA())</f>
        <v>#N/A</v>
      </c>
      <c r="CQ23" s="67" t="e">
        <f ca="1">IFERROR(IF(ISNUMBER(CO23),INDEX('1.Locations'!E2:E32,CO23 + 1),NA()),NA())</f>
        <v>#N/A</v>
      </c>
      <c r="CR23" s="68" t="str">
        <f ca="1">IFERROR(IF(ISNUMBER(CO23),INDEX('2.Distances'!C2:C962,CO22*31+CO23+ 1) +CR22," ")," ")</f>
        <v xml:space="preserve"> </v>
      </c>
      <c r="CS23" s="69" t="str">
        <f ca="1">IFERROR(IF(ISNUMBER(CO23),INDEX('2.Distances'!D2:D962,CO22*31+CO23 + 1) +CS22," ")," ")</f>
        <v xml:space="preserve"> </v>
      </c>
      <c r="CT23" s="70" t="str">
        <f ca="1">IFERROR(IF(ISNUMBER(CO23),INDEX('2.Distances'!D2:D962,CO22*31+CO23 + 1) +CU22," ")," ")</f>
        <v xml:space="preserve"> </v>
      </c>
      <c r="CU23" s="70" t="str">
        <f ca="1">IFERROR(IF(AND(CO5&lt;&gt;CO23,ISNUMBER(CT23)),INDEX('1.Locations'!I2:I32,CO23 + 1) + MAX(CT23,INDEX('1.Locations'!F2:F32,CO23 + 1))," ")," ")</f>
        <v xml:space="preserve"> </v>
      </c>
      <c r="CV23" s="69" t="str">
        <f ca="1">IFERROR(IF(CO5 = CO23, CT23 - CU5, CU23 - CU5)," ")</f>
        <v xml:space="preserve"> </v>
      </c>
      <c r="CW23" s="67" t="str">
        <f ca="1">IFERROR(IF(ISNUMBER(CO23),INDEX('1.Locations'!L2:L32,CO23 + 1) + CW22," ")," ")</f>
        <v xml:space="preserve"> </v>
      </c>
      <c r="CX23" s="67" t="str">
        <f ca="1">IFERROR(IF(ISNUMBER(CO23),INDEX('1.Locations'!J2:J32,CO23 + 1)," ")," ")</f>
        <v xml:space="preserve"> </v>
      </c>
      <c r="CY23" s="67" t="str">
        <f ca="1">IFERROR(IF(ISNUMBER(CO23),INDEX('1.Locations'!K2:K32,CO23 + 1)," ")," ")</f>
        <v xml:space="preserve"> </v>
      </c>
      <c r="CZ23" s="67" t="str">
        <f ca="1">IFERROR(IF(ISNUMBER(CO23),SUM(CX5:CX23) + SUM(CY24:CY36)," ")," ")</f>
        <v xml:space="preserve"> </v>
      </c>
      <c r="DB23" s="17">
        <v>18</v>
      </c>
      <c r="DC23" s="21"/>
      <c r="DD23" s="67" t="str">
        <f ca="1">IFERROR(MATCH(INDIRECT("DC23"),'1.Locations'!B2:B32, 0) - 1," ")</f>
        <v xml:space="preserve"> </v>
      </c>
      <c r="DE23" s="67" t="e">
        <f ca="1">IFERROR(IF(ISNUMBER(DD23),INDEX('1.Locations'!D2:D32,DD23 + 1),NA()),NA())</f>
        <v>#N/A</v>
      </c>
      <c r="DF23" s="67" t="e">
        <f ca="1">IFERROR(IF(ISNUMBER(DD23),INDEX('1.Locations'!E2:E32,DD23 + 1),NA()),NA())</f>
        <v>#N/A</v>
      </c>
      <c r="DG23" s="68" t="str">
        <f ca="1">IFERROR(IF(ISNUMBER(DD23),INDEX('2.Distances'!C2:C962,DD22*31+DD23+ 1) +DG22," ")," ")</f>
        <v xml:space="preserve"> </v>
      </c>
      <c r="DH23" s="69" t="str">
        <f ca="1">IFERROR(IF(ISNUMBER(DD23),INDEX('2.Distances'!D2:D962,DD22*31+DD23 + 1) +DH22," ")," ")</f>
        <v xml:space="preserve"> </v>
      </c>
      <c r="DI23" s="70" t="str">
        <f ca="1">IFERROR(IF(ISNUMBER(DD23),INDEX('2.Distances'!D2:D962,DD22*31+DD23 + 1) +DJ22," ")," ")</f>
        <v xml:space="preserve"> </v>
      </c>
      <c r="DJ23" s="70" t="str">
        <f ca="1">IFERROR(IF(AND(DD5&lt;&gt;DD23,ISNUMBER(DI23)),INDEX('1.Locations'!I2:I32,DD23 + 1) + MAX(DI23,INDEX('1.Locations'!F2:F32,DD23 + 1))," ")," ")</f>
        <v xml:space="preserve"> </v>
      </c>
      <c r="DK23" s="69" t="str">
        <f ca="1">IFERROR(IF(DD5 = DD23, DI23 - DJ5, DJ23 - DJ5)," ")</f>
        <v xml:space="preserve"> </v>
      </c>
      <c r="DL23" s="67" t="str">
        <f ca="1">IFERROR(IF(ISNUMBER(DD23),INDEX('1.Locations'!L2:L32,DD23 + 1) + DL22," ")," ")</f>
        <v xml:space="preserve"> </v>
      </c>
      <c r="DM23" s="67" t="str">
        <f ca="1">IFERROR(IF(ISNUMBER(DD23),INDEX('1.Locations'!J2:J32,DD23 + 1)," ")," ")</f>
        <v xml:space="preserve"> </v>
      </c>
      <c r="DN23" s="67" t="str">
        <f ca="1">IFERROR(IF(ISNUMBER(DD23),INDEX('1.Locations'!K2:K32,DD23 + 1)," ")," ")</f>
        <v xml:space="preserve"> </v>
      </c>
      <c r="DO23" s="67" t="str">
        <f ca="1">IFERROR(IF(ISNUMBER(DD23),SUM(DM5:DM23) + SUM(DN24:DN36)," ")," ")</f>
        <v xml:space="preserve"> </v>
      </c>
      <c r="DQ23" s="17">
        <v>18</v>
      </c>
      <c r="DR23" s="21"/>
      <c r="DS23" s="67" t="str">
        <f ca="1">IFERROR(MATCH(INDIRECT("DR23"),'1.Locations'!B2:B32, 0) - 1," ")</f>
        <v xml:space="preserve"> </v>
      </c>
      <c r="DT23" s="67" t="e">
        <f ca="1">IFERROR(IF(ISNUMBER(DS23),INDEX('1.Locations'!D2:D32,DS23 + 1),NA()),NA())</f>
        <v>#N/A</v>
      </c>
      <c r="DU23" s="67" t="e">
        <f ca="1">IFERROR(IF(ISNUMBER(DS23),INDEX('1.Locations'!E2:E32,DS23 + 1),NA()),NA())</f>
        <v>#N/A</v>
      </c>
      <c r="DV23" s="68" t="str">
        <f ca="1">IFERROR(IF(ISNUMBER(DS23),INDEX('2.Distances'!C2:C962,DS22*31+DS23+ 1) +DV22," ")," ")</f>
        <v xml:space="preserve"> </v>
      </c>
      <c r="DW23" s="69" t="str">
        <f ca="1">IFERROR(IF(ISNUMBER(DS23),INDEX('2.Distances'!D2:D962,DS22*31+DS23 + 1) +DW22," ")," ")</f>
        <v xml:space="preserve"> </v>
      </c>
      <c r="DX23" s="70" t="str">
        <f ca="1">IFERROR(IF(ISNUMBER(DS23),INDEX('2.Distances'!D2:D962,DS22*31+DS23 + 1) +DY22," ")," ")</f>
        <v xml:space="preserve"> </v>
      </c>
      <c r="DY23" s="70" t="str">
        <f ca="1">IFERROR(IF(AND(DS5&lt;&gt;DS23,ISNUMBER(DX23)),INDEX('1.Locations'!I2:I32,DS23 + 1) + MAX(DX23,INDEX('1.Locations'!F2:F32,DS23 + 1))," ")," ")</f>
        <v xml:space="preserve"> </v>
      </c>
      <c r="DZ23" s="69" t="str">
        <f ca="1">IFERROR(IF(DS5 = DS23, DX23 - DY5, DY23 - DY5)," ")</f>
        <v xml:space="preserve"> </v>
      </c>
      <c r="EA23" s="67" t="str">
        <f ca="1">IFERROR(IF(ISNUMBER(DS23),INDEX('1.Locations'!L2:L32,DS23 + 1) + EA22," ")," ")</f>
        <v xml:space="preserve"> </v>
      </c>
      <c r="EB23" s="67" t="str">
        <f ca="1">IFERROR(IF(ISNUMBER(DS23),INDEX('1.Locations'!J2:J32,DS23 + 1)," ")," ")</f>
        <v xml:space="preserve"> </v>
      </c>
      <c r="EC23" s="67" t="str">
        <f ca="1">IFERROR(IF(ISNUMBER(DS23),INDEX('1.Locations'!K2:K32,DS23 + 1)," ")," ")</f>
        <v xml:space="preserve"> </v>
      </c>
      <c r="ED23" s="67" t="str">
        <f ca="1">IFERROR(IF(ISNUMBER(DS23),SUM(EB5:EB23) + SUM(EC24:EC36)," ")," ")</f>
        <v xml:space="preserve"> </v>
      </c>
      <c r="EF23" s="17">
        <v>18</v>
      </c>
      <c r="EG23" s="21"/>
      <c r="EH23" s="67" t="str">
        <f ca="1">IFERROR(MATCH(INDIRECT("EG23"),'1.Locations'!B2:B32, 0) - 1," ")</f>
        <v xml:space="preserve"> </v>
      </c>
      <c r="EI23" s="67" t="e">
        <f ca="1">IFERROR(IF(ISNUMBER(EH23),INDEX('1.Locations'!D2:D32,EH23 + 1),NA()),NA())</f>
        <v>#N/A</v>
      </c>
      <c r="EJ23" s="67" t="e">
        <f ca="1">IFERROR(IF(ISNUMBER(EH23),INDEX('1.Locations'!E2:E32,EH23 + 1),NA()),NA())</f>
        <v>#N/A</v>
      </c>
      <c r="EK23" s="68" t="str">
        <f ca="1">IFERROR(IF(ISNUMBER(EH23),INDEX('2.Distances'!C2:C962,EH22*31+EH23+ 1) +EK22," ")," ")</f>
        <v xml:space="preserve"> </v>
      </c>
      <c r="EL23" s="69" t="str">
        <f ca="1">IFERROR(IF(ISNUMBER(EH23),INDEX('2.Distances'!D2:D962,EH22*31+EH23 + 1) +EL22," ")," ")</f>
        <v xml:space="preserve"> </v>
      </c>
      <c r="EM23" s="70" t="str">
        <f ca="1">IFERROR(IF(ISNUMBER(EH23),INDEX('2.Distances'!D2:D962,EH22*31+EH23 + 1) +EN22," ")," ")</f>
        <v xml:space="preserve"> </v>
      </c>
      <c r="EN23" s="70" t="str">
        <f ca="1">IFERROR(IF(AND(EH5&lt;&gt;EH23,ISNUMBER(EM23)),INDEX('1.Locations'!I2:I32,EH23 + 1) + MAX(EM23,INDEX('1.Locations'!F2:F32,EH23 + 1))," ")," ")</f>
        <v xml:space="preserve"> </v>
      </c>
      <c r="EO23" s="69" t="str">
        <f ca="1">IFERROR(IF(EH5 = EH23, EM23 - EN5, EN23 - EN5)," ")</f>
        <v xml:space="preserve"> </v>
      </c>
      <c r="EP23" s="67" t="str">
        <f ca="1">IFERROR(IF(ISNUMBER(EH23),INDEX('1.Locations'!L2:L32,EH23 + 1) + EP22," ")," ")</f>
        <v xml:space="preserve"> </v>
      </c>
      <c r="EQ23" s="67" t="str">
        <f ca="1">IFERROR(IF(ISNUMBER(EH23),INDEX('1.Locations'!J2:J32,EH23 + 1)," ")," ")</f>
        <v xml:space="preserve"> </v>
      </c>
      <c r="ER23" s="67" t="str">
        <f ca="1">IFERROR(IF(ISNUMBER(EH23),INDEX('1.Locations'!K2:K32,EH23 + 1)," ")," ")</f>
        <v xml:space="preserve"> </v>
      </c>
      <c r="ES23" s="67" t="str">
        <f ca="1">IFERROR(IF(ISNUMBER(EH23),SUM(EQ5:EQ23) + SUM(ER24:ER36)," ")," ")</f>
        <v xml:space="preserve"> </v>
      </c>
    </row>
    <row r="24" spans="1:149" x14ac:dyDescent="0.25">
      <c r="A24" s="17">
        <v>19</v>
      </c>
      <c r="B24" s="18"/>
      <c r="C24" s="67" t="str">
        <f ca="1">IFERROR(MATCH(INDIRECT("B24"),'1.Locations'!B2:B32, 0) - 1," ")</f>
        <v xml:space="preserve"> </v>
      </c>
      <c r="D24" s="67" t="e">
        <f ca="1">IFERROR(IF(ISNUMBER(C24),INDEX('1.Locations'!D2:D32,C24 + 1),NA()),NA())</f>
        <v>#N/A</v>
      </c>
      <c r="E24" s="67" t="e">
        <f ca="1">IFERROR(IF(ISNUMBER(C24),INDEX('1.Locations'!E2:E32,C24 + 1),NA()),NA())</f>
        <v>#N/A</v>
      </c>
      <c r="F24" s="68" t="str">
        <f ca="1">IFERROR(IF(ISNUMBER(C24),INDEX('2.Distances'!C2:C962,C23*31+C24+ 1) +F23," ")," ")</f>
        <v xml:space="preserve"> </v>
      </c>
      <c r="G24" s="69" t="str">
        <f ca="1">IFERROR(IF(ISNUMBER(C24),INDEX('2.Distances'!D2:D962,C23*31+C24 + 1) +G23," ")," ")</f>
        <v xml:space="preserve"> </v>
      </c>
      <c r="H24" s="70" t="str">
        <f ca="1">IFERROR(IF(ISNUMBER(C24),INDEX('2.Distances'!D2:D962,C23*31+C24 + 1) +I23," ")," ")</f>
        <v xml:space="preserve"> </v>
      </c>
      <c r="I24" s="70" t="str">
        <f ca="1">IFERROR(IF(AND(C5&lt;&gt;C24,ISNUMBER(H24)),INDEX('1.Locations'!I2:I32,C24 + 1) + MAX(H24,INDEX('1.Locations'!F2:F32,C24 + 1))," ")," ")</f>
        <v xml:space="preserve"> </v>
      </c>
      <c r="J24" s="69" t="str">
        <f ca="1">IFERROR(IF(C5 = C24, H24 - I5, I24 - I5)," ")</f>
        <v xml:space="preserve"> </v>
      </c>
      <c r="K24" s="67" t="str">
        <f ca="1">IFERROR(IF(ISNUMBER(C24),INDEX('1.Locations'!L2:L32,C24 + 1) + K23," ")," ")</f>
        <v xml:space="preserve"> </v>
      </c>
      <c r="L24" s="67" t="str">
        <f ca="1">IFERROR(IF(ISNUMBER(C24),INDEX('1.Locations'!J2:J32,C24 + 1)," ")," ")</f>
        <v xml:space="preserve"> </v>
      </c>
      <c r="M24" s="67" t="str">
        <f ca="1">IFERROR(IF(ISNUMBER(C24),INDEX('1.Locations'!K2:K32,C24 + 1)," ")," ")</f>
        <v xml:space="preserve"> </v>
      </c>
      <c r="N24" s="67" t="str">
        <f ca="1">IFERROR(IF(ISNUMBER(C24),SUM(L5:L24) + SUM(M25:M36)," ")," ")</f>
        <v xml:space="preserve"> </v>
      </c>
      <c r="P24" s="17">
        <v>19</v>
      </c>
      <c r="Q24" s="18"/>
      <c r="R24" s="67" t="str">
        <f ca="1">IFERROR(MATCH(INDIRECT("Q24"),'1.Locations'!B2:B32, 0) - 1," ")</f>
        <v xml:space="preserve"> </v>
      </c>
      <c r="S24" s="67" t="e">
        <f ca="1">IFERROR(IF(ISNUMBER(R24),INDEX('1.Locations'!D2:D32,R24 + 1),NA()),NA())</f>
        <v>#N/A</v>
      </c>
      <c r="T24" s="67" t="e">
        <f ca="1">IFERROR(IF(ISNUMBER(R24),INDEX('1.Locations'!E2:E32,R24 + 1),NA()),NA())</f>
        <v>#N/A</v>
      </c>
      <c r="U24" s="68" t="str">
        <f ca="1">IFERROR(IF(ISNUMBER(R24),INDEX('2.Distances'!C2:C962,R23*31+R24+ 1) +U23," ")," ")</f>
        <v xml:space="preserve"> </v>
      </c>
      <c r="V24" s="69" t="str">
        <f ca="1">IFERROR(IF(ISNUMBER(R24),INDEX('2.Distances'!D2:D962,R23*31+R24 + 1) +V23," ")," ")</f>
        <v xml:space="preserve"> </v>
      </c>
      <c r="W24" s="70" t="str">
        <f ca="1">IFERROR(IF(ISNUMBER(R24),INDEX('2.Distances'!D2:D962,R23*31+R24 + 1) +X23," ")," ")</f>
        <v xml:space="preserve"> </v>
      </c>
      <c r="X24" s="70" t="str">
        <f ca="1">IFERROR(IF(AND(R5&lt;&gt;R24,ISNUMBER(W24)),INDEX('1.Locations'!I2:I32,R24 + 1) + MAX(W24,INDEX('1.Locations'!F2:F32,R24 + 1))," ")," ")</f>
        <v xml:space="preserve"> </v>
      </c>
      <c r="Y24" s="69" t="str">
        <f ca="1">IFERROR(IF(R5 = R24, W24 - X5, X24 - X5)," ")</f>
        <v xml:space="preserve"> </v>
      </c>
      <c r="Z24" s="67" t="str">
        <f ca="1">IFERROR(IF(ISNUMBER(R24),INDEX('1.Locations'!L2:L32,R24 + 1) + Z23," ")," ")</f>
        <v xml:space="preserve"> </v>
      </c>
      <c r="AA24" s="67" t="str">
        <f ca="1">IFERROR(IF(ISNUMBER(R24),INDEX('1.Locations'!J2:J32,R24 + 1)," ")," ")</f>
        <v xml:space="preserve"> </v>
      </c>
      <c r="AB24" s="67" t="str">
        <f ca="1">IFERROR(IF(ISNUMBER(R24),INDEX('1.Locations'!K2:K32,R24 + 1)," ")," ")</f>
        <v xml:space="preserve"> </v>
      </c>
      <c r="AC24" s="67" t="str">
        <f ca="1">IFERROR(IF(ISNUMBER(R24),SUM(AA5:AA24) + SUM(AB25:AB36)," ")," ")</f>
        <v xml:space="preserve"> </v>
      </c>
      <c r="AE24" s="17">
        <v>19</v>
      </c>
      <c r="AF24" s="18"/>
      <c r="AG24" s="67" t="str">
        <f ca="1">IFERROR(MATCH(INDIRECT("AF24"),'1.Locations'!B2:B32, 0) - 1," ")</f>
        <v xml:space="preserve"> </v>
      </c>
      <c r="AH24" s="67" t="e">
        <f ca="1">IFERROR(IF(ISNUMBER(AG24),INDEX('1.Locations'!D2:D32,AG24 + 1),NA()),NA())</f>
        <v>#N/A</v>
      </c>
      <c r="AI24" s="67" t="e">
        <f ca="1">IFERROR(IF(ISNUMBER(AG24),INDEX('1.Locations'!E2:E32,AG24 + 1),NA()),NA())</f>
        <v>#N/A</v>
      </c>
      <c r="AJ24" s="68" t="str">
        <f ca="1">IFERROR(IF(ISNUMBER(AG24),INDEX('2.Distances'!C2:C962,AG23*31+AG24+ 1) +AJ23," ")," ")</f>
        <v xml:space="preserve"> </v>
      </c>
      <c r="AK24" s="69" t="str">
        <f ca="1">IFERROR(IF(ISNUMBER(AG24),INDEX('2.Distances'!D2:D962,AG23*31+AG24 + 1) +AK23," ")," ")</f>
        <v xml:space="preserve"> </v>
      </c>
      <c r="AL24" s="70" t="str">
        <f ca="1">IFERROR(IF(ISNUMBER(AG24),INDEX('2.Distances'!D2:D962,AG23*31+AG24 + 1) +AM23," ")," ")</f>
        <v xml:space="preserve"> </v>
      </c>
      <c r="AM24" s="70" t="str">
        <f ca="1">IFERROR(IF(AND(AG5&lt;&gt;AG24,ISNUMBER(AL24)),INDEX('1.Locations'!I2:I32,AG24 + 1) + MAX(AL24,INDEX('1.Locations'!F2:F32,AG24 + 1))," ")," ")</f>
        <v xml:space="preserve"> </v>
      </c>
      <c r="AN24" s="69" t="str">
        <f ca="1">IFERROR(IF(AG5 = AG24, AL24 - AM5, AM24 - AM5)," ")</f>
        <v xml:space="preserve"> </v>
      </c>
      <c r="AO24" s="67" t="str">
        <f ca="1">IFERROR(IF(ISNUMBER(AG24),INDEX('1.Locations'!L2:L32,AG24 + 1) + AO23," ")," ")</f>
        <v xml:space="preserve"> </v>
      </c>
      <c r="AP24" s="67" t="str">
        <f ca="1">IFERROR(IF(ISNUMBER(AG24),INDEX('1.Locations'!J2:J32,AG24 + 1)," ")," ")</f>
        <v xml:space="preserve"> </v>
      </c>
      <c r="AQ24" s="67" t="str">
        <f ca="1">IFERROR(IF(ISNUMBER(AG24),INDEX('1.Locations'!K2:K32,AG24 + 1)," ")," ")</f>
        <v xml:space="preserve"> </v>
      </c>
      <c r="AR24" s="67" t="str">
        <f ca="1">IFERROR(IF(ISNUMBER(AG24),SUM(AP5:AP24) + SUM(AQ25:AQ36)," ")," ")</f>
        <v xml:space="preserve"> </v>
      </c>
      <c r="AT24" s="17">
        <v>19</v>
      </c>
      <c r="AU24" s="18"/>
      <c r="AV24" s="67" t="str">
        <f ca="1">IFERROR(MATCH(INDIRECT("AU24"),'1.Locations'!B2:B32, 0) - 1," ")</f>
        <v xml:space="preserve"> </v>
      </c>
      <c r="AW24" s="67" t="e">
        <f ca="1">IFERROR(IF(ISNUMBER(AV24),INDEX('1.Locations'!D2:D32,AV24 + 1),NA()),NA())</f>
        <v>#N/A</v>
      </c>
      <c r="AX24" s="67" t="e">
        <f ca="1">IFERROR(IF(ISNUMBER(AV24),INDEX('1.Locations'!E2:E32,AV24 + 1),NA()),NA())</f>
        <v>#N/A</v>
      </c>
      <c r="AY24" s="68" t="str">
        <f ca="1">IFERROR(IF(ISNUMBER(AV24),INDEX('2.Distances'!C2:C962,AV23*31+AV24+ 1) +AY23," ")," ")</f>
        <v xml:space="preserve"> </v>
      </c>
      <c r="AZ24" s="69" t="str">
        <f ca="1">IFERROR(IF(ISNUMBER(AV24),INDEX('2.Distances'!D2:D962,AV23*31+AV24 + 1) +AZ23," ")," ")</f>
        <v xml:space="preserve"> </v>
      </c>
      <c r="BA24" s="70" t="str">
        <f ca="1">IFERROR(IF(ISNUMBER(AV24),INDEX('2.Distances'!D2:D962,AV23*31+AV24 + 1) +BB23," ")," ")</f>
        <v xml:space="preserve"> </v>
      </c>
      <c r="BB24" s="70" t="str">
        <f ca="1">IFERROR(IF(AND(AV5&lt;&gt;AV24,ISNUMBER(BA24)),INDEX('1.Locations'!I2:I32,AV24 + 1) + MAX(BA24,INDEX('1.Locations'!F2:F32,AV24 + 1))," ")," ")</f>
        <v xml:space="preserve"> </v>
      </c>
      <c r="BC24" s="69" t="str">
        <f ca="1">IFERROR(IF(AV5 = AV24, BA24 - BB5, BB24 - BB5)," ")</f>
        <v xml:space="preserve"> </v>
      </c>
      <c r="BD24" s="67" t="str">
        <f ca="1">IFERROR(IF(ISNUMBER(AV24),INDEX('1.Locations'!L2:L32,AV24 + 1) + BD23," ")," ")</f>
        <v xml:space="preserve"> </v>
      </c>
      <c r="BE24" s="67" t="str">
        <f ca="1">IFERROR(IF(ISNUMBER(AV24),INDEX('1.Locations'!J2:J32,AV24 + 1)," ")," ")</f>
        <v xml:space="preserve"> </v>
      </c>
      <c r="BF24" s="67" t="str">
        <f ca="1">IFERROR(IF(ISNUMBER(AV24),INDEX('1.Locations'!K2:K32,AV24 + 1)," ")," ")</f>
        <v xml:space="preserve"> </v>
      </c>
      <c r="BG24" s="67" t="str">
        <f ca="1">IFERROR(IF(ISNUMBER(AV24),SUM(BE5:BE24) + SUM(BF25:BF36)," ")," ")</f>
        <v xml:space="preserve"> </v>
      </c>
      <c r="BI24" s="17">
        <v>19</v>
      </c>
      <c r="BJ24" s="18"/>
      <c r="BK24" s="67" t="str">
        <f ca="1">IFERROR(MATCH(INDIRECT("BJ24"),'1.Locations'!B2:B32, 0) - 1," ")</f>
        <v xml:space="preserve"> </v>
      </c>
      <c r="BL24" s="67" t="e">
        <f ca="1">IFERROR(IF(ISNUMBER(BK24),INDEX('1.Locations'!D2:D32,BK24 + 1),NA()),NA())</f>
        <v>#N/A</v>
      </c>
      <c r="BM24" s="67" t="e">
        <f ca="1">IFERROR(IF(ISNUMBER(BK24),INDEX('1.Locations'!E2:E32,BK24 + 1),NA()),NA())</f>
        <v>#N/A</v>
      </c>
      <c r="BN24" s="68" t="str">
        <f ca="1">IFERROR(IF(ISNUMBER(BK24),INDEX('2.Distances'!C2:C962,BK23*31+BK24+ 1) +BN23," ")," ")</f>
        <v xml:space="preserve"> </v>
      </c>
      <c r="BO24" s="69" t="str">
        <f ca="1">IFERROR(IF(ISNUMBER(BK24),INDEX('2.Distances'!D2:D962,BK23*31+BK24 + 1) +BO23," ")," ")</f>
        <v xml:space="preserve"> </v>
      </c>
      <c r="BP24" s="70" t="str">
        <f ca="1">IFERROR(IF(ISNUMBER(BK24),INDEX('2.Distances'!D2:D962,BK23*31+BK24 + 1) +BQ23," ")," ")</f>
        <v xml:space="preserve"> </v>
      </c>
      <c r="BQ24" s="70" t="str">
        <f ca="1">IFERROR(IF(AND(BK5&lt;&gt;BK24,ISNUMBER(BP24)),INDEX('1.Locations'!I2:I32,BK24 + 1) + MAX(BP24,INDEX('1.Locations'!F2:F32,BK24 + 1))," ")," ")</f>
        <v xml:space="preserve"> </v>
      </c>
      <c r="BR24" s="69" t="str">
        <f ca="1">IFERROR(IF(BK5 = BK24, BP24 - BQ5, BQ24 - BQ5)," ")</f>
        <v xml:space="preserve"> </v>
      </c>
      <c r="BS24" s="67" t="str">
        <f ca="1">IFERROR(IF(ISNUMBER(BK24),INDEX('1.Locations'!L2:L32,BK24 + 1) + BS23," ")," ")</f>
        <v xml:space="preserve"> </v>
      </c>
      <c r="BT24" s="67" t="str">
        <f ca="1">IFERROR(IF(ISNUMBER(BK24),INDEX('1.Locations'!J2:J32,BK24 + 1)," ")," ")</f>
        <v xml:space="preserve"> </v>
      </c>
      <c r="BU24" s="67" t="str">
        <f ca="1">IFERROR(IF(ISNUMBER(BK24),INDEX('1.Locations'!K2:K32,BK24 + 1)," ")," ")</f>
        <v xml:space="preserve"> </v>
      </c>
      <c r="BV24" s="67" t="str">
        <f ca="1">IFERROR(IF(ISNUMBER(BK24),SUM(BT5:BT24) + SUM(BU25:BU36)," ")," ")</f>
        <v xml:space="preserve"> </v>
      </c>
      <c r="BX24" s="17">
        <v>19</v>
      </c>
      <c r="BY24" s="18"/>
      <c r="BZ24" s="67" t="str">
        <f ca="1">IFERROR(MATCH(INDIRECT("BY24"),'1.Locations'!B2:B32, 0) - 1," ")</f>
        <v xml:space="preserve"> </v>
      </c>
      <c r="CA24" s="67" t="e">
        <f ca="1">IFERROR(IF(ISNUMBER(BZ24),INDEX('1.Locations'!D2:D32,BZ24 + 1),NA()),NA())</f>
        <v>#N/A</v>
      </c>
      <c r="CB24" s="67" t="e">
        <f ca="1">IFERROR(IF(ISNUMBER(BZ24),INDEX('1.Locations'!E2:E32,BZ24 + 1),NA()),NA())</f>
        <v>#N/A</v>
      </c>
      <c r="CC24" s="68" t="str">
        <f ca="1">IFERROR(IF(ISNUMBER(BZ24),INDEX('2.Distances'!C2:C962,BZ23*31+BZ24+ 1) +CC23," ")," ")</f>
        <v xml:space="preserve"> </v>
      </c>
      <c r="CD24" s="69" t="str">
        <f ca="1">IFERROR(IF(ISNUMBER(BZ24),INDEX('2.Distances'!D2:D962,BZ23*31+BZ24 + 1) +CD23," ")," ")</f>
        <v xml:space="preserve"> </v>
      </c>
      <c r="CE24" s="70" t="str">
        <f ca="1">IFERROR(IF(ISNUMBER(BZ24),INDEX('2.Distances'!D2:D962,BZ23*31+BZ24 + 1) +CF23," ")," ")</f>
        <v xml:space="preserve"> </v>
      </c>
      <c r="CF24" s="70" t="str">
        <f ca="1">IFERROR(IF(AND(BZ5&lt;&gt;BZ24,ISNUMBER(CE24)),INDEX('1.Locations'!I2:I32,BZ24 + 1) + MAX(CE24,INDEX('1.Locations'!F2:F32,BZ24 + 1))," ")," ")</f>
        <v xml:space="preserve"> </v>
      </c>
      <c r="CG24" s="69" t="str">
        <f ca="1">IFERROR(IF(BZ5 = BZ24, CE24 - CF5, CF24 - CF5)," ")</f>
        <v xml:space="preserve"> </v>
      </c>
      <c r="CH24" s="67" t="str">
        <f ca="1">IFERROR(IF(ISNUMBER(BZ24),INDEX('1.Locations'!L2:L32,BZ24 + 1) + CH23," ")," ")</f>
        <v xml:space="preserve"> </v>
      </c>
      <c r="CI24" s="67" t="str">
        <f ca="1">IFERROR(IF(ISNUMBER(BZ24),INDEX('1.Locations'!J2:J32,BZ24 + 1)," ")," ")</f>
        <v xml:space="preserve"> </v>
      </c>
      <c r="CJ24" s="67" t="str">
        <f ca="1">IFERROR(IF(ISNUMBER(BZ24),INDEX('1.Locations'!K2:K32,BZ24 + 1)," ")," ")</f>
        <v xml:space="preserve"> </v>
      </c>
      <c r="CK24" s="67" t="str">
        <f ca="1">IFERROR(IF(ISNUMBER(BZ24),SUM(CI5:CI24) + SUM(CJ25:CJ36)," ")," ")</f>
        <v xml:space="preserve"> </v>
      </c>
      <c r="CM24" s="17">
        <v>19</v>
      </c>
      <c r="CN24" s="18"/>
      <c r="CO24" s="67" t="str">
        <f ca="1">IFERROR(MATCH(INDIRECT("CN24"),'1.Locations'!B2:B32, 0) - 1," ")</f>
        <v xml:space="preserve"> </v>
      </c>
      <c r="CP24" s="67" t="e">
        <f ca="1">IFERROR(IF(ISNUMBER(CO24),INDEX('1.Locations'!D2:D32,CO24 + 1),NA()),NA())</f>
        <v>#N/A</v>
      </c>
      <c r="CQ24" s="67" t="e">
        <f ca="1">IFERROR(IF(ISNUMBER(CO24),INDEX('1.Locations'!E2:E32,CO24 + 1),NA()),NA())</f>
        <v>#N/A</v>
      </c>
      <c r="CR24" s="68" t="str">
        <f ca="1">IFERROR(IF(ISNUMBER(CO24),INDEX('2.Distances'!C2:C962,CO23*31+CO24+ 1) +CR23," ")," ")</f>
        <v xml:space="preserve"> </v>
      </c>
      <c r="CS24" s="69" t="str">
        <f ca="1">IFERROR(IF(ISNUMBER(CO24),INDEX('2.Distances'!D2:D962,CO23*31+CO24 + 1) +CS23," ")," ")</f>
        <v xml:space="preserve"> </v>
      </c>
      <c r="CT24" s="70" t="str">
        <f ca="1">IFERROR(IF(ISNUMBER(CO24),INDEX('2.Distances'!D2:D962,CO23*31+CO24 + 1) +CU23," ")," ")</f>
        <v xml:space="preserve"> </v>
      </c>
      <c r="CU24" s="70" t="str">
        <f ca="1">IFERROR(IF(AND(CO5&lt;&gt;CO24,ISNUMBER(CT24)),INDEX('1.Locations'!I2:I32,CO24 + 1) + MAX(CT24,INDEX('1.Locations'!F2:F32,CO24 + 1))," ")," ")</f>
        <v xml:space="preserve"> </v>
      </c>
      <c r="CV24" s="69" t="str">
        <f ca="1">IFERROR(IF(CO5 = CO24, CT24 - CU5, CU24 - CU5)," ")</f>
        <v xml:space="preserve"> </v>
      </c>
      <c r="CW24" s="67" t="str">
        <f ca="1">IFERROR(IF(ISNUMBER(CO24),INDEX('1.Locations'!L2:L32,CO24 + 1) + CW23," ")," ")</f>
        <v xml:space="preserve"> </v>
      </c>
      <c r="CX24" s="67" t="str">
        <f ca="1">IFERROR(IF(ISNUMBER(CO24),INDEX('1.Locations'!J2:J32,CO24 + 1)," ")," ")</f>
        <v xml:space="preserve"> </v>
      </c>
      <c r="CY24" s="67" t="str">
        <f ca="1">IFERROR(IF(ISNUMBER(CO24),INDEX('1.Locations'!K2:K32,CO24 + 1)," ")," ")</f>
        <v xml:space="preserve"> </v>
      </c>
      <c r="CZ24" s="67" t="str">
        <f ca="1">IFERROR(IF(ISNUMBER(CO24),SUM(CX5:CX24) + SUM(CY25:CY36)," ")," ")</f>
        <v xml:space="preserve"> </v>
      </c>
      <c r="DB24" s="17">
        <v>19</v>
      </c>
      <c r="DC24" s="18"/>
      <c r="DD24" s="67" t="str">
        <f ca="1">IFERROR(MATCH(INDIRECT("DC24"),'1.Locations'!B2:B32, 0) - 1," ")</f>
        <v xml:space="preserve"> </v>
      </c>
      <c r="DE24" s="67" t="e">
        <f ca="1">IFERROR(IF(ISNUMBER(DD24),INDEX('1.Locations'!D2:D32,DD24 + 1),NA()),NA())</f>
        <v>#N/A</v>
      </c>
      <c r="DF24" s="67" t="e">
        <f ca="1">IFERROR(IF(ISNUMBER(DD24),INDEX('1.Locations'!E2:E32,DD24 + 1),NA()),NA())</f>
        <v>#N/A</v>
      </c>
      <c r="DG24" s="68" t="str">
        <f ca="1">IFERROR(IF(ISNUMBER(DD24),INDEX('2.Distances'!C2:C962,DD23*31+DD24+ 1) +DG23," ")," ")</f>
        <v xml:space="preserve"> </v>
      </c>
      <c r="DH24" s="69" t="str">
        <f ca="1">IFERROR(IF(ISNUMBER(DD24),INDEX('2.Distances'!D2:D962,DD23*31+DD24 + 1) +DH23," ")," ")</f>
        <v xml:space="preserve"> </v>
      </c>
      <c r="DI24" s="70" t="str">
        <f ca="1">IFERROR(IF(ISNUMBER(DD24),INDEX('2.Distances'!D2:D962,DD23*31+DD24 + 1) +DJ23," ")," ")</f>
        <v xml:space="preserve"> </v>
      </c>
      <c r="DJ24" s="70" t="str">
        <f ca="1">IFERROR(IF(AND(DD5&lt;&gt;DD24,ISNUMBER(DI24)),INDEX('1.Locations'!I2:I32,DD24 + 1) + MAX(DI24,INDEX('1.Locations'!F2:F32,DD24 + 1))," ")," ")</f>
        <v xml:space="preserve"> </v>
      </c>
      <c r="DK24" s="69" t="str">
        <f ca="1">IFERROR(IF(DD5 = DD24, DI24 - DJ5, DJ24 - DJ5)," ")</f>
        <v xml:space="preserve"> </v>
      </c>
      <c r="DL24" s="67" t="str">
        <f ca="1">IFERROR(IF(ISNUMBER(DD24),INDEX('1.Locations'!L2:L32,DD24 + 1) + DL23," ")," ")</f>
        <v xml:space="preserve"> </v>
      </c>
      <c r="DM24" s="67" t="str">
        <f ca="1">IFERROR(IF(ISNUMBER(DD24),INDEX('1.Locations'!J2:J32,DD24 + 1)," ")," ")</f>
        <v xml:space="preserve"> </v>
      </c>
      <c r="DN24" s="67" t="str">
        <f ca="1">IFERROR(IF(ISNUMBER(DD24),INDEX('1.Locations'!K2:K32,DD24 + 1)," ")," ")</f>
        <v xml:space="preserve"> </v>
      </c>
      <c r="DO24" s="67" t="str">
        <f ca="1">IFERROR(IF(ISNUMBER(DD24),SUM(DM5:DM24) + SUM(DN25:DN36)," ")," ")</f>
        <v xml:space="preserve"> </v>
      </c>
      <c r="DQ24" s="17">
        <v>19</v>
      </c>
      <c r="DR24" s="18"/>
      <c r="DS24" s="67" t="str">
        <f ca="1">IFERROR(MATCH(INDIRECT("DR24"),'1.Locations'!B2:B32, 0) - 1," ")</f>
        <v xml:space="preserve"> </v>
      </c>
      <c r="DT24" s="67" t="e">
        <f ca="1">IFERROR(IF(ISNUMBER(DS24),INDEX('1.Locations'!D2:D32,DS24 + 1),NA()),NA())</f>
        <v>#N/A</v>
      </c>
      <c r="DU24" s="67" t="e">
        <f ca="1">IFERROR(IF(ISNUMBER(DS24),INDEX('1.Locations'!E2:E32,DS24 + 1),NA()),NA())</f>
        <v>#N/A</v>
      </c>
      <c r="DV24" s="68" t="str">
        <f ca="1">IFERROR(IF(ISNUMBER(DS24),INDEX('2.Distances'!C2:C962,DS23*31+DS24+ 1) +DV23," ")," ")</f>
        <v xml:space="preserve"> </v>
      </c>
      <c r="DW24" s="69" t="str">
        <f ca="1">IFERROR(IF(ISNUMBER(DS24),INDEX('2.Distances'!D2:D962,DS23*31+DS24 + 1) +DW23," ")," ")</f>
        <v xml:space="preserve"> </v>
      </c>
      <c r="DX24" s="70" t="str">
        <f ca="1">IFERROR(IF(ISNUMBER(DS24),INDEX('2.Distances'!D2:D962,DS23*31+DS24 + 1) +DY23," ")," ")</f>
        <v xml:space="preserve"> </v>
      </c>
      <c r="DY24" s="70" t="str">
        <f ca="1">IFERROR(IF(AND(DS5&lt;&gt;DS24,ISNUMBER(DX24)),INDEX('1.Locations'!I2:I32,DS24 + 1) + MAX(DX24,INDEX('1.Locations'!F2:F32,DS24 + 1))," ")," ")</f>
        <v xml:space="preserve"> </v>
      </c>
      <c r="DZ24" s="69" t="str">
        <f ca="1">IFERROR(IF(DS5 = DS24, DX24 - DY5, DY24 - DY5)," ")</f>
        <v xml:space="preserve"> </v>
      </c>
      <c r="EA24" s="67" t="str">
        <f ca="1">IFERROR(IF(ISNUMBER(DS24),INDEX('1.Locations'!L2:L32,DS24 + 1) + EA23," ")," ")</f>
        <v xml:space="preserve"> </v>
      </c>
      <c r="EB24" s="67" t="str">
        <f ca="1">IFERROR(IF(ISNUMBER(DS24),INDEX('1.Locations'!J2:J32,DS24 + 1)," ")," ")</f>
        <v xml:space="preserve"> </v>
      </c>
      <c r="EC24" s="67" t="str">
        <f ca="1">IFERROR(IF(ISNUMBER(DS24),INDEX('1.Locations'!K2:K32,DS24 + 1)," ")," ")</f>
        <v xml:space="preserve"> </v>
      </c>
      <c r="ED24" s="67" t="str">
        <f ca="1">IFERROR(IF(ISNUMBER(DS24),SUM(EB5:EB24) + SUM(EC25:EC36)," ")," ")</f>
        <v xml:space="preserve"> </v>
      </c>
      <c r="EF24" s="17">
        <v>19</v>
      </c>
      <c r="EG24" s="18"/>
      <c r="EH24" s="67" t="str">
        <f ca="1">IFERROR(MATCH(INDIRECT("EG24"),'1.Locations'!B2:B32, 0) - 1," ")</f>
        <v xml:space="preserve"> </v>
      </c>
      <c r="EI24" s="67" t="e">
        <f ca="1">IFERROR(IF(ISNUMBER(EH24),INDEX('1.Locations'!D2:D32,EH24 + 1),NA()),NA())</f>
        <v>#N/A</v>
      </c>
      <c r="EJ24" s="67" t="e">
        <f ca="1">IFERROR(IF(ISNUMBER(EH24),INDEX('1.Locations'!E2:E32,EH24 + 1),NA()),NA())</f>
        <v>#N/A</v>
      </c>
      <c r="EK24" s="68" t="str">
        <f ca="1">IFERROR(IF(ISNUMBER(EH24),INDEX('2.Distances'!C2:C962,EH23*31+EH24+ 1) +EK23," ")," ")</f>
        <v xml:space="preserve"> </v>
      </c>
      <c r="EL24" s="69" t="str">
        <f ca="1">IFERROR(IF(ISNUMBER(EH24),INDEX('2.Distances'!D2:D962,EH23*31+EH24 + 1) +EL23," ")," ")</f>
        <v xml:space="preserve"> </v>
      </c>
      <c r="EM24" s="70" t="str">
        <f ca="1">IFERROR(IF(ISNUMBER(EH24),INDEX('2.Distances'!D2:D962,EH23*31+EH24 + 1) +EN23," ")," ")</f>
        <v xml:space="preserve"> </v>
      </c>
      <c r="EN24" s="70" t="str">
        <f ca="1">IFERROR(IF(AND(EH5&lt;&gt;EH24,ISNUMBER(EM24)),INDEX('1.Locations'!I2:I32,EH24 + 1) + MAX(EM24,INDEX('1.Locations'!F2:F32,EH24 + 1))," ")," ")</f>
        <v xml:space="preserve"> </v>
      </c>
      <c r="EO24" s="69" t="str">
        <f ca="1">IFERROR(IF(EH5 = EH24, EM24 - EN5, EN24 - EN5)," ")</f>
        <v xml:space="preserve"> </v>
      </c>
      <c r="EP24" s="67" t="str">
        <f ca="1">IFERROR(IF(ISNUMBER(EH24),INDEX('1.Locations'!L2:L32,EH24 + 1) + EP23," ")," ")</f>
        <v xml:space="preserve"> </v>
      </c>
      <c r="EQ24" s="67" t="str">
        <f ca="1">IFERROR(IF(ISNUMBER(EH24),INDEX('1.Locations'!J2:J32,EH24 + 1)," ")," ")</f>
        <v xml:space="preserve"> </v>
      </c>
      <c r="ER24" s="67" t="str">
        <f ca="1">IFERROR(IF(ISNUMBER(EH24),INDEX('1.Locations'!K2:K32,EH24 + 1)," ")," ")</f>
        <v xml:space="preserve"> </v>
      </c>
      <c r="ES24" s="67" t="str">
        <f ca="1">IFERROR(IF(ISNUMBER(EH24),SUM(EQ5:EQ24) + SUM(ER25:ER36)," ")," ")</f>
        <v xml:space="preserve"> </v>
      </c>
    </row>
    <row r="25" spans="1:149" x14ac:dyDescent="0.25">
      <c r="A25" s="17">
        <v>20</v>
      </c>
      <c r="B25" s="21"/>
      <c r="C25" s="67" t="str">
        <f ca="1">IFERROR(MATCH(INDIRECT("B25"),'1.Locations'!B2:B32, 0) - 1," ")</f>
        <v xml:space="preserve"> </v>
      </c>
      <c r="D25" s="67" t="e">
        <f ca="1">IFERROR(IF(ISNUMBER(C25),INDEX('1.Locations'!D2:D32,C25 + 1),NA()),NA())</f>
        <v>#N/A</v>
      </c>
      <c r="E25" s="67" t="e">
        <f ca="1">IFERROR(IF(ISNUMBER(C25),INDEX('1.Locations'!E2:E32,C25 + 1),NA()),NA())</f>
        <v>#N/A</v>
      </c>
      <c r="F25" s="68" t="str">
        <f ca="1">IFERROR(IF(ISNUMBER(C25),INDEX('2.Distances'!C2:C962,C24*31+C25+ 1) +F24," ")," ")</f>
        <v xml:space="preserve"> </v>
      </c>
      <c r="G25" s="69" t="str">
        <f ca="1">IFERROR(IF(ISNUMBER(C25),INDEX('2.Distances'!D2:D962,C24*31+C25 + 1) +G24," ")," ")</f>
        <v xml:space="preserve"> </v>
      </c>
      <c r="H25" s="70" t="str">
        <f ca="1">IFERROR(IF(ISNUMBER(C25),INDEX('2.Distances'!D2:D962,C24*31+C25 + 1) +I24," ")," ")</f>
        <v xml:space="preserve"> </v>
      </c>
      <c r="I25" s="70" t="str">
        <f ca="1">IFERROR(IF(AND(C5&lt;&gt;C25,ISNUMBER(H25)),INDEX('1.Locations'!I2:I32,C25 + 1) + MAX(H25,INDEX('1.Locations'!F2:F32,C25 + 1))," ")," ")</f>
        <v xml:space="preserve"> </v>
      </c>
      <c r="J25" s="69" t="str">
        <f ca="1">IFERROR(IF(C5 = C25, H25 - I5, I25 - I5)," ")</f>
        <v xml:space="preserve"> </v>
      </c>
      <c r="K25" s="67" t="str">
        <f ca="1">IFERROR(IF(ISNUMBER(C25),INDEX('1.Locations'!L2:L32,C25 + 1) + K24," ")," ")</f>
        <v xml:space="preserve"> </v>
      </c>
      <c r="L25" s="67" t="str">
        <f ca="1">IFERROR(IF(ISNUMBER(C25),INDEX('1.Locations'!J2:J32,C25 + 1)," ")," ")</f>
        <v xml:space="preserve"> </v>
      </c>
      <c r="M25" s="67" t="str">
        <f ca="1">IFERROR(IF(ISNUMBER(C25),INDEX('1.Locations'!K2:K32,C25 + 1)," ")," ")</f>
        <v xml:space="preserve"> </v>
      </c>
      <c r="N25" s="67" t="str">
        <f ca="1">IFERROR(IF(ISNUMBER(C25),SUM(L5:L25) + SUM(M26:M36)," ")," ")</f>
        <v xml:space="preserve"> </v>
      </c>
      <c r="P25" s="17">
        <v>20</v>
      </c>
      <c r="Q25" s="21"/>
      <c r="R25" s="67" t="str">
        <f ca="1">IFERROR(MATCH(INDIRECT("Q25"),'1.Locations'!B2:B32, 0) - 1," ")</f>
        <v xml:space="preserve"> </v>
      </c>
      <c r="S25" s="67" t="e">
        <f ca="1">IFERROR(IF(ISNUMBER(R25),INDEX('1.Locations'!D2:D32,R25 + 1),NA()),NA())</f>
        <v>#N/A</v>
      </c>
      <c r="T25" s="67" t="e">
        <f ca="1">IFERROR(IF(ISNUMBER(R25),INDEX('1.Locations'!E2:E32,R25 + 1),NA()),NA())</f>
        <v>#N/A</v>
      </c>
      <c r="U25" s="68" t="str">
        <f ca="1">IFERROR(IF(ISNUMBER(R25),INDEX('2.Distances'!C2:C962,R24*31+R25+ 1) +U24," ")," ")</f>
        <v xml:space="preserve"> </v>
      </c>
      <c r="V25" s="69" t="str">
        <f ca="1">IFERROR(IF(ISNUMBER(R25),INDEX('2.Distances'!D2:D962,R24*31+R25 + 1) +V24," ")," ")</f>
        <v xml:space="preserve"> </v>
      </c>
      <c r="W25" s="70" t="str">
        <f ca="1">IFERROR(IF(ISNUMBER(R25),INDEX('2.Distances'!D2:D962,R24*31+R25 + 1) +X24," ")," ")</f>
        <v xml:space="preserve"> </v>
      </c>
      <c r="X25" s="70" t="str">
        <f ca="1">IFERROR(IF(AND(R5&lt;&gt;R25,ISNUMBER(W25)),INDEX('1.Locations'!I2:I32,R25 + 1) + MAX(W25,INDEX('1.Locations'!F2:F32,R25 + 1))," ")," ")</f>
        <v xml:space="preserve"> </v>
      </c>
      <c r="Y25" s="69" t="str">
        <f ca="1">IFERROR(IF(R5 = R25, W25 - X5, X25 - X5)," ")</f>
        <v xml:space="preserve"> </v>
      </c>
      <c r="Z25" s="67" t="str">
        <f ca="1">IFERROR(IF(ISNUMBER(R25),INDEX('1.Locations'!L2:L32,R25 + 1) + Z24," ")," ")</f>
        <v xml:space="preserve"> </v>
      </c>
      <c r="AA25" s="67" t="str">
        <f ca="1">IFERROR(IF(ISNUMBER(R25),INDEX('1.Locations'!J2:J32,R25 + 1)," ")," ")</f>
        <v xml:space="preserve"> </v>
      </c>
      <c r="AB25" s="67" t="str">
        <f ca="1">IFERROR(IF(ISNUMBER(R25),INDEX('1.Locations'!K2:K32,R25 + 1)," ")," ")</f>
        <v xml:space="preserve"> </v>
      </c>
      <c r="AC25" s="67" t="str">
        <f ca="1">IFERROR(IF(ISNUMBER(R25),SUM(AA5:AA25) + SUM(AB26:AB36)," ")," ")</f>
        <v xml:space="preserve"> </v>
      </c>
      <c r="AE25" s="17">
        <v>20</v>
      </c>
      <c r="AF25" s="21"/>
      <c r="AG25" s="67" t="str">
        <f ca="1">IFERROR(MATCH(INDIRECT("AF25"),'1.Locations'!B2:B32, 0) - 1," ")</f>
        <v xml:space="preserve"> </v>
      </c>
      <c r="AH25" s="67" t="e">
        <f ca="1">IFERROR(IF(ISNUMBER(AG25),INDEX('1.Locations'!D2:D32,AG25 + 1),NA()),NA())</f>
        <v>#N/A</v>
      </c>
      <c r="AI25" s="67" t="e">
        <f ca="1">IFERROR(IF(ISNUMBER(AG25),INDEX('1.Locations'!E2:E32,AG25 + 1),NA()),NA())</f>
        <v>#N/A</v>
      </c>
      <c r="AJ25" s="68" t="str">
        <f ca="1">IFERROR(IF(ISNUMBER(AG25),INDEX('2.Distances'!C2:C962,AG24*31+AG25+ 1) +AJ24," ")," ")</f>
        <v xml:space="preserve"> </v>
      </c>
      <c r="AK25" s="69" t="str">
        <f ca="1">IFERROR(IF(ISNUMBER(AG25),INDEX('2.Distances'!D2:D962,AG24*31+AG25 + 1) +AK24," ")," ")</f>
        <v xml:space="preserve"> </v>
      </c>
      <c r="AL25" s="70" t="str">
        <f ca="1">IFERROR(IF(ISNUMBER(AG25),INDEX('2.Distances'!D2:D962,AG24*31+AG25 + 1) +AM24," ")," ")</f>
        <v xml:space="preserve"> </v>
      </c>
      <c r="AM25" s="70" t="str">
        <f ca="1">IFERROR(IF(AND(AG5&lt;&gt;AG25,ISNUMBER(AL25)),INDEX('1.Locations'!I2:I32,AG25 + 1) + MAX(AL25,INDEX('1.Locations'!F2:F32,AG25 + 1))," ")," ")</f>
        <v xml:space="preserve"> </v>
      </c>
      <c r="AN25" s="69" t="str">
        <f ca="1">IFERROR(IF(AG5 = AG25, AL25 - AM5, AM25 - AM5)," ")</f>
        <v xml:space="preserve"> </v>
      </c>
      <c r="AO25" s="67" t="str">
        <f ca="1">IFERROR(IF(ISNUMBER(AG25),INDEX('1.Locations'!L2:L32,AG25 + 1) + AO24," ")," ")</f>
        <v xml:space="preserve"> </v>
      </c>
      <c r="AP25" s="67" t="str">
        <f ca="1">IFERROR(IF(ISNUMBER(AG25),INDEX('1.Locations'!J2:J32,AG25 + 1)," ")," ")</f>
        <v xml:space="preserve"> </v>
      </c>
      <c r="AQ25" s="67" t="str">
        <f ca="1">IFERROR(IF(ISNUMBER(AG25),INDEX('1.Locations'!K2:K32,AG25 + 1)," ")," ")</f>
        <v xml:space="preserve"> </v>
      </c>
      <c r="AR25" s="67" t="str">
        <f ca="1">IFERROR(IF(ISNUMBER(AG25),SUM(AP5:AP25) + SUM(AQ26:AQ36)," ")," ")</f>
        <v xml:space="preserve"> </v>
      </c>
      <c r="AT25" s="17">
        <v>20</v>
      </c>
      <c r="AU25" s="21"/>
      <c r="AV25" s="67" t="str">
        <f ca="1">IFERROR(MATCH(INDIRECT("AU25"),'1.Locations'!B2:B32, 0) - 1," ")</f>
        <v xml:space="preserve"> </v>
      </c>
      <c r="AW25" s="67" t="e">
        <f ca="1">IFERROR(IF(ISNUMBER(AV25),INDEX('1.Locations'!D2:D32,AV25 + 1),NA()),NA())</f>
        <v>#N/A</v>
      </c>
      <c r="AX25" s="67" t="e">
        <f ca="1">IFERROR(IF(ISNUMBER(AV25),INDEX('1.Locations'!E2:E32,AV25 + 1),NA()),NA())</f>
        <v>#N/A</v>
      </c>
      <c r="AY25" s="68" t="str">
        <f ca="1">IFERROR(IF(ISNUMBER(AV25),INDEX('2.Distances'!C2:C962,AV24*31+AV25+ 1) +AY24," ")," ")</f>
        <v xml:space="preserve"> </v>
      </c>
      <c r="AZ25" s="69" t="str">
        <f ca="1">IFERROR(IF(ISNUMBER(AV25),INDEX('2.Distances'!D2:D962,AV24*31+AV25 + 1) +AZ24," ")," ")</f>
        <v xml:space="preserve"> </v>
      </c>
      <c r="BA25" s="70" t="str">
        <f ca="1">IFERROR(IF(ISNUMBER(AV25),INDEX('2.Distances'!D2:D962,AV24*31+AV25 + 1) +BB24," ")," ")</f>
        <v xml:space="preserve"> </v>
      </c>
      <c r="BB25" s="70" t="str">
        <f ca="1">IFERROR(IF(AND(AV5&lt;&gt;AV25,ISNUMBER(BA25)),INDEX('1.Locations'!I2:I32,AV25 + 1) + MAX(BA25,INDEX('1.Locations'!F2:F32,AV25 + 1))," ")," ")</f>
        <v xml:space="preserve"> </v>
      </c>
      <c r="BC25" s="69" t="str">
        <f ca="1">IFERROR(IF(AV5 = AV25, BA25 - BB5, BB25 - BB5)," ")</f>
        <v xml:space="preserve"> </v>
      </c>
      <c r="BD25" s="67" t="str">
        <f ca="1">IFERROR(IF(ISNUMBER(AV25),INDEX('1.Locations'!L2:L32,AV25 + 1) + BD24," ")," ")</f>
        <v xml:space="preserve"> </v>
      </c>
      <c r="BE25" s="67" t="str">
        <f ca="1">IFERROR(IF(ISNUMBER(AV25),INDEX('1.Locations'!J2:J32,AV25 + 1)," ")," ")</f>
        <v xml:space="preserve"> </v>
      </c>
      <c r="BF25" s="67" t="str">
        <f ca="1">IFERROR(IF(ISNUMBER(AV25),INDEX('1.Locations'!K2:K32,AV25 + 1)," ")," ")</f>
        <v xml:space="preserve"> </v>
      </c>
      <c r="BG25" s="67" t="str">
        <f ca="1">IFERROR(IF(ISNUMBER(AV25),SUM(BE5:BE25) + SUM(BF26:BF36)," ")," ")</f>
        <v xml:space="preserve"> </v>
      </c>
      <c r="BI25" s="17">
        <v>20</v>
      </c>
      <c r="BJ25" s="21"/>
      <c r="BK25" s="67" t="str">
        <f ca="1">IFERROR(MATCH(INDIRECT("BJ25"),'1.Locations'!B2:B32, 0) - 1," ")</f>
        <v xml:space="preserve"> </v>
      </c>
      <c r="BL25" s="67" t="e">
        <f ca="1">IFERROR(IF(ISNUMBER(BK25),INDEX('1.Locations'!D2:D32,BK25 + 1),NA()),NA())</f>
        <v>#N/A</v>
      </c>
      <c r="BM25" s="67" t="e">
        <f ca="1">IFERROR(IF(ISNUMBER(BK25),INDEX('1.Locations'!E2:E32,BK25 + 1),NA()),NA())</f>
        <v>#N/A</v>
      </c>
      <c r="BN25" s="68" t="str">
        <f ca="1">IFERROR(IF(ISNUMBER(BK25),INDEX('2.Distances'!C2:C962,BK24*31+BK25+ 1) +BN24," ")," ")</f>
        <v xml:space="preserve"> </v>
      </c>
      <c r="BO25" s="69" t="str">
        <f ca="1">IFERROR(IF(ISNUMBER(BK25),INDEX('2.Distances'!D2:D962,BK24*31+BK25 + 1) +BO24," ")," ")</f>
        <v xml:space="preserve"> </v>
      </c>
      <c r="BP25" s="70" t="str">
        <f ca="1">IFERROR(IF(ISNUMBER(BK25),INDEX('2.Distances'!D2:D962,BK24*31+BK25 + 1) +BQ24," ")," ")</f>
        <v xml:space="preserve"> </v>
      </c>
      <c r="BQ25" s="70" t="str">
        <f ca="1">IFERROR(IF(AND(BK5&lt;&gt;BK25,ISNUMBER(BP25)),INDEX('1.Locations'!I2:I32,BK25 + 1) + MAX(BP25,INDEX('1.Locations'!F2:F32,BK25 + 1))," ")," ")</f>
        <v xml:space="preserve"> </v>
      </c>
      <c r="BR25" s="69" t="str">
        <f ca="1">IFERROR(IF(BK5 = BK25, BP25 - BQ5, BQ25 - BQ5)," ")</f>
        <v xml:space="preserve"> </v>
      </c>
      <c r="BS25" s="67" t="str">
        <f ca="1">IFERROR(IF(ISNUMBER(BK25),INDEX('1.Locations'!L2:L32,BK25 + 1) + BS24," ")," ")</f>
        <v xml:space="preserve"> </v>
      </c>
      <c r="BT25" s="67" t="str">
        <f ca="1">IFERROR(IF(ISNUMBER(BK25),INDEX('1.Locations'!J2:J32,BK25 + 1)," ")," ")</f>
        <v xml:space="preserve"> </v>
      </c>
      <c r="BU25" s="67" t="str">
        <f ca="1">IFERROR(IF(ISNUMBER(BK25),INDEX('1.Locations'!K2:K32,BK25 + 1)," ")," ")</f>
        <v xml:space="preserve"> </v>
      </c>
      <c r="BV25" s="67" t="str">
        <f ca="1">IFERROR(IF(ISNUMBER(BK25),SUM(BT5:BT25) + SUM(BU26:BU36)," ")," ")</f>
        <v xml:space="preserve"> </v>
      </c>
      <c r="BX25" s="17">
        <v>20</v>
      </c>
      <c r="BY25" s="21"/>
      <c r="BZ25" s="67" t="str">
        <f ca="1">IFERROR(MATCH(INDIRECT("BY25"),'1.Locations'!B2:B32, 0) - 1," ")</f>
        <v xml:space="preserve"> </v>
      </c>
      <c r="CA25" s="67" t="e">
        <f ca="1">IFERROR(IF(ISNUMBER(BZ25),INDEX('1.Locations'!D2:D32,BZ25 + 1),NA()),NA())</f>
        <v>#N/A</v>
      </c>
      <c r="CB25" s="67" t="e">
        <f ca="1">IFERROR(IF(ISNUMBER(BZ25),INDEX('1.Locations'!E2:E32,BZ25 + 1),NA()),NA())</f>
        <v>#N/A</v>
      </c>
      <c r="CC25" s="68" t="str">
        <f ca="1">IFERROR(IF(ISNUMBER(BZ25),INDEX('2.Distances'!C2:C962,BZ24*31+BZ25+ 1) +CC24," ")," ")</f>
        <v xml:space="preserve"> </v>
      </c>
      <c r="CD25" s="69" t="str">
        <f ca="1">IFERROR(IF(ISNUMBER(BZ25),INDEX('2.Distances'!D2:D962,BZ24*31+BZ25 + 1) +CD24," ")," ")</f>
        <v xml:space="preserve"> </v>
      </c>
      <c r="CE25" s="70" t="str">
        <f ca="1">IFERROR(IF(ISNUMBER(BZ25),INDEX('2.Distances'!D2:D962,BZ24*31+BZ25 + 1) +CF24," ")," ")</f>
        <v xml:space="preserve"> </v>
      </c>
      <c r="CF25" s="70" t="str">
        <f ca="1">IFERROR(IF(AND(BZ5&lt;&gt;BZ25,ISNUMBER(CE25)),INDEX('1.Locations'!I2:I32,BZ25 + 1) + MAX(CE25,INDEX('1.Locations'!F2:F32,BZ25 + 1))," ")," ")</f>
        <v xml:space="preserve"> </v>
      </c>
      <c r="CG25" s="69" t="str">
        <f ca="1">IFERROR(IF(BZ5 = BZ25, CE25 - CF5, CF25 - CF5)," ")</f>
        <v xml:space="preserve"> </v>
      </c>
      <c r="CH25" s="67" t="str">
        <f ca="1">IFERROR(IF(ISNUMBER(BZ25),INDEX('1.Locations'!L2:L32,BZ25 + 1) + CH24," ")," ")</f>
        <v xml:space="preserve"> </v>
      </c>
      <c r="CI25" s="67" t="str">
        <f ca="1">IFERROR(IF(ISNUMBER(BZ25),INDEX('1.Locations'!J2:J32,BZ25 + 1)," ")," ")</f>
        <v xml:space="preserve"> </v>
      </c>
      <c r="CJ25" s="67" t="str">
        <f ca="1">IFERROR(IF(ISNUMBER(BZ25),INDEX('1.Locations'!K2:K32,BZ25 + 1)," ")," ")</f>
        <v xml:space="preserve"> </v>
      </c>
      <c r="CK25" s="67" t="str">
        <f ca="1">IFERROR(IF(ISNUMBER(BZ25),SUM(CI5:CI25) + SUM(CJ26:CJ36)," ")," ")</f>
        <v xml:space="preserve"> </v>
      </c>
      <c r="CM25" s="17">
        <v>20</v>
      </c>
      <c r="CN25" s="21"/>
      <c r="CO25" s="67" t="str">
        <f ca="1">IFERROR(MATCH(INDIRECT("CN25"),'1.Locations'!B2:B32, 0) - 1," ")</f>
        <v xml:space="preserve"> </v>
      </c>
      <c r="CP25" s="67" t="e">
        <f ca="1">IFERROR(IF(ISNUMBER(CO25),INDEX('1.Locations'!D2:D32,CO25 + 1),NA()),NA())</f>
        <v>#N/A</v>
      </c>
      <c r="CQ25" s="67" t="e">
        <f ca="1">IFERROR(IF(ISNUMBER(CO25),INDEX('1.Locations'!E2:E32,CO25 + 1),NA()),NA())</f>
        <v>#N/A</v>
      </c>
      <c r="CR25" s="68" t="str">
        <f ca="1">IFERROR(IF(ISNUMBER(CO25),INDEX('2.Distances'!C2:C962,CO24*31+CO25+ 1) +CR24," ")," ")</f>
        <v xml:space="preserve"> </v>
      </c>
      <c r="CS25" s="69" t="str">
        <f ca="1">IFERROR(IF(ISNUMBER(CO25),INDEX('2.Distances'!D2:D962,CO24*31+CO25 + 1) +CS24," ")," ")</f>
        <v xml:space="preserve"> </v>
      </c>
      <c r="CT25" s="70" t="str">
        <f ca="1">IFERROR(IF(ISNUMBER(CO25),INDEX('2.Distances'!D2:D962,CO24*31+CO25 + 1) +CU24," ")," ")</f>
        <v xml:space="preserve"> </v>
      </c>
      <c r="CU25" s="70" t="str">
        <f ca="1">IFERROR(IF(AND(CO5&lt;&gt;CO25,ISNUMBER(CT25)),INDEX('1.Locations'!I2:I32,CO25 + 1) + MAX(CT25,INDEX('1.Locations'!F2:F32,CO25 + 1))," ")," ")</f>
        <v xml:space="preserve"> </v>
      </c>
      <c r="CV25" s="69" t="str">
        <f ca="1">IFERROR(IF(CO5 = CO25, CT25 - CU5, CU25 - CU5)," ")</f>
        <v xml:space="preserve"> </v>
      </c>
      <c r="CW25" s="67" t="str">
        <f ca="1">IFERROR(IF(ISNUMBER(CO25),INDEX('1.Locations'!L2:L32,CO25 + 1) + CW24," ")," ")</f>
        <v xml:space="preserve"> </v>
      </c>
      <c r="CX25" s="67" t="str">
        <f ca="1">IFERROR(IF(ISNUMBER(CO25),INDEX('1.Locations'!J2:J32,CO25 + 1)," ")," ")</f>
        <v xml:space="preserve"> </v>
      </c>
      <c r="CY25" s="67" t="str">
        <f ca="1">IFERROR(IF(ISNUMBER(CO25),INDEX('1.Locations'!K2:K32,CO25 + 1)," ")," ")</f>
        <v xml:space="preserve"> </v>
      </c>
      <c r="CZ25" s="67" t="str">
        <f ca="1">IFERROR(IF(ISNUMBER(CO25),SUM(CX5:CX25) + SUM(CY26:CY36)," ")," ")</f>
        <v xml:space="preserve"> </v>
      </c>
      <c r="DB25" s="17">
        <v>20</v>
      </c>
      <c r="DC25" s="21"/>
      <c r="DD25" s="67" t="str">
        <f ca="1">IFERROR(MATCH(INDIRECT("DC25"),'1.Locations'!B2:B32, 0) - 1," ")</f>
        <v xml:space="preserve"> </v>
      </c>
      <c r="DE25" s="67" t="e">
        <f ca="1">IFERROR(IF(ISNUMBER(DD25),INDEX('1.Locations'!D2:D32,DD25 + 1),NA()),NA())</f>
        <v>#N/A</v>
      </c>
      <c r="DF25" s="67" t="e">
        <f ca="1">IFERROR(IF(ISNUMBER(DD25),INDEX('1.Locations'!E2:E32,DD25 + 1),NA()),NA())</f>
        <v>#N/A</v>
      </c>
      <c r="DG25" s="68" t="str">
        <f ca="1">IFERROR(IF(ISNUMBER(DD25),INDEX('2.Distances'!C2:C962,DD24*31+DD25+ 1) +DG24," ")," ")</f>
        <v xml:space="preserve"> </v>
      </c>
      <c r="DH25" s="69" t="str">
        <f ca="1">IFERROR(IF(ISNUMBER(DD25),INDEX('2.Distances'!D2:D962,DD24*31+DD25 + 1) +DH24," ")," ")</f>
        <v xml:space="preserve"> </v>
      </c>
      <c r="DI25" s="70" t="str">
        <f ca="1">IFERROR(IF(ISNUMBER(DD25),INDEX('2.Distances'!D2:D962,DD24*31+DD25 + 1) +DJ24," ")," ")</f>
        <v xml:space="preserve"> </v>
      </c>
      <c r="DJ25" s="70" t="str">
        <f ca="1">IFERROR(IF(AND(DD5&lt;&gt;DD25,ISNUMBER(DI25)),INDEX('1.Locations'!I2:I32,DD25 + 1) + MAX(DI25,INDEX('1.Locations'!F2:F32,DD25 + 1))," ")," ")</f>
        <v xml:space="preserve"> </v>
      </c>
      <c r="DK25" s="69" t="str">
        <f ca="1">IFERROR(IF(DD5 = DD25, DI25 - DJ5, DJ25 - DJ5)," ")</f>
        <v xml:space="preserve"> </v>
      </c>
      <c r="DL25" s="67" t="str">
        <f ca="1">IFERROR(IF(ISNUMBER(DD25),INDEX('1.Locations'!L2:L32,DD25 + 1) + DL24," ")," ")</f>
        <v xml:space="preserve"> </v>
      </c>
      <c r="DM25" s="67" t="str">
        <f ca="1">IFERROR(IF(ISNUMBER(DD25),INDEX('1.Locations'!J2:J32,DD25 + 1)," ")," ")</f>
        <v xml:space="preserve"> </v>
      </c>
      <c r="DN25" s="67" t="str">
        <f ca="1">IFERROR(IF(ISNUMBER(DD25),INDEX('1.Locations'!K2:K32,DD25 + 1)," ")," ")</f>
        <v xml:space="preserve"> </v>
      </c>
      <c r="DO25" s="67" t="str">
        <f ca="1">IFERROR(IF(ISNUMBER(DD25),SUM(DM5:DM25) + SUM(DN26:DN36)," ")," ")</f>
        <v xml:space="preserve"> </v>
      </c>
      <c r="DQ25" s="17">
        <v>20</v>
      </c>
      <c r="DR25" s="21"/>
      <c r="DS25" s="67" t="str">
        <f ca="1">IFERROR(MATCH(INDIRECT("DR25"),'1.Locations'!B2:B32, 0) - 1," ")</f>
        <v xml:space="preserve"> </v>
      </c>
      <c r="DT25" s="67" t="e">
        <f ca="1">IFERROR(IF(ISNUMBER(DS25),INDEX('1.Locations'!D2:D32,DS25 + 1),NA()),NA())</f>
        <v>#N/A</v>
      </c>
      <c r="DU25" s="67" t="e">
        <f ca="1">IFERROR(IF(ISNUMBER(DS25),INDEX('1.Locations'!E2:E32,DS25 + 1),NA()),NA())</f>
        <v>#N/A</v>
      </c>
      <c r="DV25" s="68" t="str">
        <f ca="1">IFERROR(IF(ISNUMBER(DS25),INDEX('2.Distances'!C2:C962,DS24*31+DS25+ 1) +DV24," ")," ")</f>
        <v xml:space="preserve"> </v>
      </c>
      <c r="DW25" s="69" t="str">
        <f ca="1">IFERROR(IF(ISNUMBER(DS25),INDEX('2.Distances'!D2:D962,DS24*31+DS25 + 1) +DW24," ")," ")</f>
        <v xml:space="preserve"> </v>
      </c>
      <c r="DX25" s="70" t="str">
        <f ca="1">IFERROR(IF(ISNUMBER(DS25),INDEX('2.Distances'!D2:D962,DS24*31+DS25 + 1) +DY24," ")," ")</f>
        <v xml:space="preserve"> </v>
      </c>
      <c r="DY25" s="70" t="str">
        <f ca="1">IFERROR(IF(AND(DS5&lt;&gt;DS25,ISNUMBER(DX25)),INDEX('1.Locations'!I2:I32,DS25 + 1) + MAX(DX25,INDEX('1.Locations'!F2:F32,DS25 + 1))," ")," ")</f>
        <v xml:space="preserve"> </v>
      </c>
      <c r="DZ25" s="69" t="str">
        <f ca="1">IFERROR(IF(DS5 = DS25, DX25 - DY5, DY25 - DY5)," ")</f>
        <v xml:space="preserve"> </v>
      </c>
      <c r="EA25" s="67" t="str">
        <f ca="1">IFERROR(IF(ISNUMBER(DS25),INDEX('1.Locations'!L2:L32,DS25 + 1) + EA24," ")," ")</f>
        <v xml:space="preserve"> </v>
      </c>
      <c r="EB25" s="67" t="str">
        <f ca="1">IFERROR(IF(ISNUMBER(DS25),INDEX('1.Locations'!J2:J32,DS25 + 1)," ")," ")</f>
        <v xml:space="preserve"> </v>
      </c>
      <c r="EC25" s="67" t="str">
        <f ca="1">IFERROR(IF(ISNUMBER(DS25),INDEX('1.Locations'!K2:K32,DS25 + 1)," ")," ")</f>
        <v xml:space="preserve"> </v>
      </c>
      <c r="ED25" s="67" t="str">
        <f ca="1">IFERROR(IF(ISNUMBER(DS25),SUM(EB5:EB25) + SUM(EC26:EC36)," ")," ")</f>
        <v xml:space="preserve"> </v>
      </c>
      <c r="EF25" s="17">
        <v>20</v>
      </c>
      <c r="EG25" s="21"/>
      <c r="EH25" s="67" t="str">
        <f ca="1">IFERROR(MATCH(INDIRECT("EG25"),'1.Locations'!B2:B32, 0) - 1," ")</f>
        <v xml:space="preserve"> </v>
      </c>
      <c r="EI25" s="67" t="e">
        <f ca="1">IFERROR(IF(ISNUMBER(EH25),INDEX('1.Locations'!D2:D32,EH25 + 1),NA()),NA())</f>
        <v>#N/A</v>
      </c>
      <c r="EJ25" s="67" t="e">
        <f ca="1">IFERROR(IF(ISNUMBER(EH25),INDEX('1.Locations'!E2:E32,EH25 + 1),NA()),NA())</f>
        <v>#N/A</v>
      </c>
      <c r="EK25" s="68" t="str">
        <f ca="1">IFERROR(IF(ISNUMBER(EH25),INDEX('2.Distances'!C2:C962,EH24*31+EH25+ 1) +EK24," ")," ")</f>
        <v xml:space="preserve"> </v>
      </c>
      <c r="EL25" s="69" t="str">
        <f ca="1">IFERROR(IF(ISNUMBER(EH25),INDEX('2.Distances'!D2:D962,EH24*31+EH25 + 1) +EL24," ")," ")</f>
        <v xml:space="preserve"> </v>
      </c>
      <c r="EM25" s="70" t="str">
        <f ca="1">IFERROR(IF(ISNUMBER(EH25),INDEX('2.Distances'!D2:D962,EH24*31+EH25 + 1) +EN24," ")," ")</f>
        <v xml:space="preserve"> </v>
      </c>
      <c r="EN25" s="70" t="str">
        <f ca="1">IFERROR(IF(AND(EH5&lt;&gt;EH25,ISNUMBER(EM25)),INDEX('1.Locations'!I2:I32,EH25 + 1) + MAX(EM25,INDEX('1.Locations'!F2:F32,EH25 + 1))," ")," ")</f>
        <v xml:space="preserve"> </v>
      </c>
      <c r="EO25" s="69" t="str">
        <f ca="1">IFERROR(IF(EH5 = EH25, EM25 - EN5, EN25 - EN5)," ")</f>
        <v xml:space="preserve"> </v>
      </c>
      <c r="EP25" s="67" t="str">
        <f ca="1">IFERROR(IF(ISNUMBER(EH25),INDEX('1.Locations'!L2:L32,EH25 + 1) + EP24," ")," ")</f>
        <v xml:space="preserve"> </v>
      </c>
      <c r="EQ25" s="67" t="str">
        <f ca="1">IFERROR(IF(ISNUMBER(EH25),INDEX('1.Locations'!J2:J32,EH25 + 1)," ")," ")</f>
        <v xml:space="preserve"> </v>
      </c>
      <c r="ER25" s="67" t="str">
        <f ca="1">IFERROR(IF(ISNUMBER(EH25),INDEX('1.Locations'!K2:K32,EH25 + 1)," ")," ")</f>
        <v xml:space="preserve"> </v>
      </c>
      <c r="ES25" s="67" t="str">
        <f ca="1">IFERROR(IF(ISNUMBER(EH25),SUM(EQ5:EQ25) + SUM(ER26:ER36)," ")," ")</f>
        <v xml:space="preserve"> </v>
      </c>
    </row>
    <row r="26" spans="1:149" x14ac:dyDescent="0.25">
      <c r="A26" s="17">
        <v>21</v>
      </c>
      <c r="B26" s="18"/>
      <c r="C26" s="67" t="str">
        <f ca="1">IFERROR(MATCH(INDIRECT("B26"),'1.Locations'!B2:B32, 0) - 1," ")</f>
        <v xml:space="preserve"> </v>
      </c>
      <c r="D26" s="67" t="e">
        <f ca="1">IFERROR(IF(ISNUMBER(C26),INDEX('1.Locations'!D2:D32,C26 + 1),NA()),NA())</f>
        <v>#N/A</v>
      </c>
      <c r="E26" s="67" t="e">
        <f ca="1">IFERROR(IF(ISNUMBER(C26),INDEX('1.Locations'!E2:E32,C26 + 1),NA()),NA())</f>
        <v>#N/A</v>
      </c>
      <c r="F26" s="68" t="str">
        <f ca="1">IFERROR(IF(ISNUMBER(C26),INDEX('2.Distances'!C2:C962,C25*31+C26+ 1) +F25," ")," ")</f>
        <v xml:space="preserve"> </v>
      </c>
      <c r="G26" s="69" t="str">
        <f ca="1">IFERROR(IF(ISNUMBER(C26),INDEX('2.Distances'!D2:D962,C25*31+C26 + 1) +G25," ")," ")</f>
        <v xml:space="preserve"> </v>
      </c>
      <c r="H26" s="70" t="str">
        <f ca="1">IFERROR(IF(ISNUMBER(C26),INDEX('2.Distances'!D2:D962,C25*31+C26 + 1) +I25," ")," ")</f>
        <v xml:space="preserve"> </v>
      </c>
      <c r="I26" s="70" t="str">
        <f ca="1">IFERROR(IF(AND(C5&lt;&gt;C26,ISNUMBER(H26)),INDEX('1.Locations'!I2:I32,C26 + 1) + MAX(H26,INDEX('1.Locations'!F2:F32,C26 + 1))," ")," ")</f>
        <v xml:space="preserve"> </v>
      </c>
      <c r="J26" s="69" t="str">
        <f ca="1">IFERROR(IF(C5 = C26, H26 - I5, I26 - I5)," ")</f>
        <v xml:space="preserve"> </v>
      </c>
      <c r="K26" s="67" t="str">
        <f ca="1">IFERROR(IF(ISNUMBER(C26),INDEX('1.Locations'!L2:L32,C26 + 1) + K25," ")," ")</f>
        <v xml:space="preserve"> </v>
      </c>
      <c r="L26" s="67" t="str">
        <f ca="1">IFERROR(IF(ISNUMBER(C26),INDEX('1.Locations'!J2:J32,C26 + 1)," ")," ")</f>
        <v xml:space="preserve"> </v>
      </c>
      <c r="M26" s="67" t="str">
        <f ca="1">IFERROR(IF(ISNUMBER(C26),INDEX('1.Locations'!K2:K32,C26 + 1)," ")," ")</f>
        <v xml:space="preserve"> </v>
      </c>
      <c r="N26" s="67" t="str">
        <f ca="1">IFERROR(IF(ISNUMBER(C26),SUM(L5:L26) + SUM(M27:M36)," ")," ")</f>
        <v xml:space="preserve"> </v>
      </c>
      <c r="P26" s="17">
        <v>21</v>
      </c>
      <c r="Q26" s="18"/>
      <c r="R26" s="67" t="str">
        <f ca="1">IFERROR(MATCH(INDIRECT("Q26"),'1.Locations'!B2:B32, 0) - 1," ")</f>
        <v xml:space="preserve"> </v>
      </c>
      <c r="S26" s="67" t="e">
        <f ca="1">IFERROR(IF(ISNUMBER(R26),INDEX('1.Locations'!D2:D32,R26 + 1),NA()),NA())</f>
        <v>#N/A</v>
      </c>
      <c r="T26" s="67" t="e">
        <f ca="1">IFERROR(IF(ISNUMBER(R26),INDEX('1.Locations'!E2:E32,R26 + 1),NA()),NA())</f>
        <v>#N/A</v>
      </c>
      <c r="U26" s="68" t="str">
        <f ca="1">IFERROR(IF(ISNUMBER(R26),INDEX('2.Distances'!C2:C962,R25*31+R26+ 1) +U25," ")," ")</f>
        <v xml:space="preserve"> </v>
      </c>
      <c r="V26" s="69" t="str">
        <f ca="1">IFERROR(IF(ISNUMBER(R26),INDEX('2.Distances'!D2:D962,R25*31+R26 + 1) +V25," ")," ")</f>
        <v xml:space="preserve"> </v>
      </c>
      <c r="W26" s="70" t="str">
        <f ca="1">IFERROR(IF(ISNUMBER(R26),INDEX('2.Distances'!D2:D962,R25*31+R26 + 1) +X25," ")," ")</f>
        <v xml:space="preserve"> </v>
      </c>
      <c r="X26" s="70" t="str">
        <f ca="1">IFERROR(IF(AND(R5&lt;&gt;R26,ISNUMBER(W26)),INDEX('1.Locations'!I2:I32,R26 + 1) + MAX(W26,INDEX('1.Locations'!F2:F32,R26 + 1))," ")," ")</f>
        <v xml:space="preserve"> </v>
      </c>
      <c r="Y26" s="69" t="str">
        <f ca="1">IFERROR(IF(R5 = R26, W26 - X5, X26 - X5)," ")</f>
        <v xml:space="preserve"> </v>
      </c>
      <c r="Z26" s="67" t="str">
        <f ca="1">IFERROR(IF(ISNUMBER(R26),INDEX('1.Locations'!L2:L32,R26 + 1) + Z25," ")," ")</f>
        <v xml:space="preserve"> </v>
      </c>
      <c r="AA26" s="67" t="str">
        <f ca="1">IFERROR(IF(ISNUMBER(R26),INDEX('1.Locations'!J2:J32,R26 + 1)," ")," ")</f>
        <v xml:space="preserve"> </v>
      </c>
      <c r="AB26" s="67" t="str">
        <f ca="1">IFERROR(IF(ISNUMBER(R26),INDEX('1.Locations'!K2:K32,R26 + 1)," ")," ")</f>
        <v xml:space="preserve"> </v>
      </c>
      <c r="AC26" s="67" t="str">
        <f ca="1">IFERROR(IF(ISNUMBER(R26),SUM(AA5:AA26) + SUM(AB27:AB36)," ")," ")</f>
        <v xml:space="preserve"> </v>
      </c>
      <c r="AE26" s="17">
        <v>21</v>
      </c>
      <c r="AF26" s="18"/>
      <c r="AG26" s="67" t="str">
        <f ca="1">IFERROR(MATCH(INDIRECT("AF26"),'1.Locations'!B2:B32, 0) - 1," ")</f>
        <v xml:space="preserve"> </v>
      </c>
      <c r="AH26" s="67" t="e">
        <f ca="1">IFERROR(IF(ISNUMBER(AG26),INDEX('1.Locations'!D2:D32,AG26 + 1),NA()),NA())</f>
        <v>#N/A</v>
      </c>
      <c r="AI26" s="67" t="e">
        <f ca="1">IFERROR(IF(ISNUMBER(AG26),INDEX('1.Locations'!E2:E32,AG26 + 1),NA()),NA())</f>
        <v>#N/A</v>
      </c>
      <c r="AJ26" s="68" t="str">
        <f ca="1">IFERROR(IF(ISNUMBER(AG26),INDEX('2.Distances'!C2:C962,AG25*31+AG26+ 1) +AJ25," ")," ")</f>
        <v xml:space="preserve"> </v>
      </c>
      <c r="AK26" s="69" t="str">
        <f ca="1">IFERROR(IF(ISNUMBER(AG26),INDEX('2.Distances'!D2:D962,AG25*31+AG26 + 1) +AK25," ")," ")</f>
        <v xml:space="preserve"> </v>
      </c>
      <c r="AL26" s="70" t="str">
        <f ca="1">IFERROR(IF(ISNUMBER(AG26),INDEX('2.Distances'!D2:D962,AG25*31+AG26 + 1) +AM25," ")," ")</f>
        <v xml:space="preserve"> </v>
      </c>
      <c r="AM26" s="70" t="str">
        <f ca="1">IFERROR(IF(AND(AG5&lt;&gt;AG26,ISNUMBER(AL26)),INDEX('1.Locations'!I2:I32,AG26 + 1) + MAX(AL26,INDEX('1.Locations'!F2:F32,AG26 + 1))," ")," ")</f>
        <v xml:space="preserve"> </v>
      </c>
      <c r="AN26" s="69" t="str">
        <f ca="1">IFERROR(IF(AG5 = AG26, AL26 - AM5, AM26 - AM5)," ")</f>
        <v xml:space="preserve"> </v>
      </c>
      <c r="AO26" s="67" t="str">
        <f ca="1">IFERROR(IF(ISNUMBER(AG26),INDEX('1.Locations'!L2:L32,AG26 + 1) + AO25," ")," ")</f>
        <v xml:space="preserve"> </v>
      </c>
      <c r="AP26" s="67" t="str">
        <f ca="1">IFERROR(IF(ISNUMBER(AG26),INDEX('1.Locations'!J2:J32,AG26 + 1)," ")," ")</f>
        <v xml:space="preserve"> </v>
      </c>
      <c r="AQ26" s="67" t="str">
        <f ca="1">IFERROR(IF(ISNUMBER(AG26),INDEX('1.Locations'!K2:K32,AG26 + 1)," ")," ")</f>
        <v xml:space="preserve"> </v>
      </c>
      <c r="AR26" s="67" t="str">
        <f ca="1">IFERROR(IF(ISNUMBER(AG26),SUM(AP5:AP26) + SUM(AQ27:AQ36)," ")," ")</f>
        <v xml:space="preserve"> </v>
      </c>
      <c r="AT26" s="17">
        <v>21</v>
      </c>
      <c r="AU26" s="18"/>
      <c r="AV26" s="67" t="str">
        <f ca="1">IFERROR(MATCH(INDIRECT("AU26"),'1.Locations'!B2:B32, 0) - 1," ")</f>
        <v xml:space="preserve"> </v>
      </c>
      <c r="AW26" s="67" t="e">
        <f ca="1">IFERROR(IF(ISNUMBER(AV26),INDEX('1.Locations'!D2:D32,AV26 + 1),NA()),NA())</f>
        <v>#N/A</v>
      </c>
      <c r="AX26" s="67" t="e">
        <f ca="1">IFERROR(IF(ISNUMBER(AV26),INDEX('1.Locations'!E2:E32,AV26 + 1),NA()),NA())</f>
        <v>#N/A</v>
      </c>
      <c r="AY26" s="68" t="str">
        <f ca="1">IFERROR(IF(ISNUMBER(AV26),INDEX('2.Distances'!C2:C962,AV25*31+AV26+ 1) +AY25," ")," ")</f>
        <v xml:space="preserve"> </v>
      </c>
      <c r="AZ26" s="69" t="str">
        <f ca="1">IFERROR(IF(ISNUMBER(AV26),INDEX('2.Distances'!D2:D962,AV25*31+AV26 + 1) +AZ25," ")," ")</f>
        <v xml:space="preserve"> </v>
      </c>
      <c r="BA26" s="70" t="str">
        <f ca="1">IFERROR(IF(ISNUMBER(AV26),INDEX('2.Distances'!D2:D962,AV25*31+AV26 + 1) +BB25," ")," ")</f>
        <v xml:space="preserve"> </v>
      </c>
      <c r="BB26" s="70" t="str">
        <f ca="1">IFERROR(IF(AND(AV5&lt;&gt;AV26,ISNUMBER(BA26)),INDEX('1.Locations'!I2:I32,AV26 + 1) + MAX(BA26,INDEX('1.Locations'!F2:F32,AV26 + 1))," ")," ")</f>
        <v xml:space="preserve"> </v>
      </c>
      <c r="BC26" s="69" t="str">
        <f ca="1">IFERROR(IF(AV5 = AV26, BA26 - BB5, BB26 - BB5)," ")</f>
        <v xml:space="preserve"> </v>
      </c>
      <c r="BD26" s="67" t="str">
        <f ca="1">IFERROR(IF(ISNUMBER(AV26),INDEX('1.Locations'!L2:L32,AV26 + 1) + BD25," ")," ")</f>
        <v xml:space="preserve"> </v>
      </c>
      <c r="BE26" s="67" t="str">
        <f ca="1">IFERROR(IF(ISNUMBER(AV26),INDEX('1.Locations'!J2:J32,AV26 + 1)," ")," ")</f>
        <v xml:space="preserve"> </v>
      </c>
      <c r="BF26" s="67" t="str">
        <f ca="1">IFERROR(IF(ISNUMBER(AV26),INDEX('1.Locations'!K2:K32,AV26 + 1)," ")," ")</f>
        <v xml:space="preserve"> </v>
      </c>
      <c r="BG26" s="67" t="str">
        <f ca="1">IFERROR(IF(ISNUMBER(AV26),SUM(BE5:BE26) + SUM(BF27:BF36)," ")," ")</f>
        <v xml:space="preserve"> </v>
      </c>
      <c r="BI26" s="17">
        <v>21</v>
      </c>
      <c r="BJ26" s="18"/>
      <c r="BK26" s="67" t="str">
        <f ca="1">IFERROR(MATCH(INDIRECT("BJ26"),'1.Locations'!B2:B32, 0) - 1," ")</f>
        <v xml:space="preserve"> </v>
      </c>
      <c r="BL26" s="67" t="e">
        <f ca="1">IFERROR(IF(ISNUMBER(BK26),INDEX('1.Locations'!D2:D32,BK26 + 1),NA()),NA())</f>
        <v>#N/A</v>
      </c>
      <c r="BM26" s="67" t="e">
        <f ca="1">IFERROR(IF(ISNUMBER(BK26),INDEX('1.Locations'!E2:E32,BK26 + 1),NA()),NA())</f>
        <v>#N/A</v>
      </c>
      <c r="BN26" s="68" t="str">
        <f ca="1">IFERROR(IF(ISNUMBER(BK26),INDEX('2.Distances'!C2:C962,BK25*31+BK26+ 1) +BN25," ")," ")</f>
        <v xml:space="preserve"> </v>
      </c>
      <c r="BO26" s="69" t="str">
        <f ca="1">IFERROR(IF(ISNUMBER(BK26),INDEX('2.Distances'!D2:D962,BK25*31+BK26 + 1) +BO25," ")," ")</f>
        <v xml:space="preserve"> </v>
      </c>
      <c r="BP26" s="70" t="str">
        <f ca="1">IFERROR(IF(ISNUMBER(BK26),INDEX('2.Distances'!D2:D962,BK25*31+BK26 + 1) +BQ25," ")," ")</f>
        <v xml:space="preserve"> </v>
      </c>
      <c r="BQ26" s="70" t="str">
        <f ca="1">IFERROR(IF(AND(BK5&lt;&gt;BK26,ISNUMBER(BP26)),INDEX('1.Locations'!I2:I32,BK26 + 1) + MAX(BP26,INDEX('1.Locations'!F2:F32,BK26 + 1))," ")," ")</f>
        <v xml:space="preserve"> </v>
      </c>
      <c r="BR26" s="69" t="str">
        <f ca="1">IFERROR(IF(BK5 = BK26, BP26 - BQ5, BQ26 - BQ5)," ")</f>
        <v xml:space="preserve"> </v>
      </c>
      <c r="BS26" s="67" t="str">
        <f ca="1">IFERROR(IF(ISNUMBER(BK26),INDEX('1.Locations'!L2:L32,BK26 + 1) + BS25," ")," ")</f>
        <v xml:space="preserve"> </v>
      </c>
      <c r="BT26" s="67" t="str">
        <f ca="1">IFERROR(IF(ISNUMBER(BK26),INDEX('1.Locations'!J2:J32,BK26 + 1)," ")," ")</f>
        <v xml:space="preserve"> </v>
      </c>
      <c r="BU26" s="67" t="str">
        <f ca="1">IFERROR(IF(ISNUMBER(BK26),INDEX('1.Locations'!K2:K32,BK26 + 1)," ")," ")</f>
        <v xml:space="preserve"> </v>
      </c>
      <c r="BV26" s="67" t="str">
        <f ca="1">IFERROR(IF(ISNUMBER(BK26),SUM(BT5:BT26) + SUM(BU27:BU36)," ")," ")</f>
        <v xml:space="preserve"> </v>
      </c>
      <c r="BX26" s="17">
        <v>21</v>
      </c>
      <c r="BY26" s="18"/>
      <c r="BZ26" s="67" t="str">
        <f ca="1">IFERROR(MATCH(INDIRECT("BY26"),'1.Locations'!B2:B32, 0) - 1," ")</f>
        <v xml:space="preserve"> </v>
      </c>
      <c r="CA26" s="67" t="e">
        <f ca="1">IFERROR(IF(ISNUMBER(BZ26),INDEX('1.Locations'!D2:D32,BZ26 + 1),NA()),NA())</f>
        <v>#N/A</v>
      </c>
      <c r="CB26" s="67" t="e">
        <f ca="1">IFERROR(IF(ISNUMBER(BZ26),INDEX('1.Locations'!E2:E32,BZ26 + 1),NA()),NA())</f>
        <v>#N/A</v>
      </c>
      <c r="CC26" s="68" t="str">
        <f ca="1">IFERROR(IF(ISNUMBER(BZ26),INDEX('2.Distances'!C2:C962,BZ25*31+BZ26+ 1) +CC25," ")," ")</f>
        <v xml:space="preserve"> </v>
      </c>
      <c r="CD26" s="69" t="str">
        <f ca="1">IFERROR(IF(ISNUMBER(BZ26),INDEX('2.Distances'!D2:D962,BZ25*31+BZ26 + 1) +CD25," ")," ")</f>
        <v xml:space="preserve"> </v>
      </c>
      <c r="CE26" s="70" t="str">
        <f ca="1">IFERROR(IF(ISNUMBER(BZ26),INDEX('2.Distances'!D2:D962,BZ25*31+BZ26 + 1) +CF25," ")," ")</f>
        <v xml:space="preserve"> </v>
      </c>
      <c r="CF26" s="70" t="str">
        <f ca="1">IFERROR(IF(AND(BZ5&lt;&gt;BZ26,ISNUMBER(CE26)),INDEX('1.Locations'!I2:I32,BZ26 + 1) + MAX(CE26,INDEX('1.Locations'!F2:F32,BZ26 + 1))," ")," ")</f>
        <v xml:space="preserve"> </v>
      </c>
      <c r="CG26" s="69" t="str">
        <f ca="1">IFERROR(IF(BZ5 = BZ26, CE26 - CF5, CF26 - CF5)," ")</f>
        <v xml:space="preserve"> </v>
      </c>
      <c r="CH26" s="67" t="str">
        <f ca="1">IFERROR(IF(ISNUMBER(BZ26),INDEX('1.Locations'!L2:L32,BZ26 + 1) + CH25," ")," ")</f>
        <v xml:space="preserve"> </v>
      </c>
      <c r="CI26" s="67" t="str">
        <f ca="1">IFERROR(IF(ISNUMBER(BZ26),INDEX('1.Locations'!J2:J32,BZ26 + 1)," ")," ")</f>
        <v xml:space="preserve"> </v>
      </c>
      <c r="CJ26" s="67" t="str">
        <f ca="1">IFERROR(IF(ISNUMBER(BZ26),INDEX('1.Locations'!K2:K32,BZ26 + 1)," ")," ")</f>
        <v xml:space="preserve"> </v>
      </c>
      <c r="CK26" s="67" t="str">
        <f ca="1">IFERROR(IF(ISNUMBER(BZ26),SUM(CI5:CI26) + SUM(CJ27:CJ36)," ")," ")</f>
        <v xml:space="preserve"> </v>
      </c>
      <c r="CM26" s="17">
        <v>21</v>
      </c>
      <c r="CN26" s="18"/>
      <c r="CO26" s="67" t="str">
        <f ca="1">IFERROR(MATCH(INDIRECT("CN26"),'1.Locations'!B2:B32, 0) - 1," ")</f>
        <v xml:space="preserve"> </v>
      </c>
      <c r="CP26" s="67" t="e">
        <f ca="1">IFERROR(IF(ISNUMBER(CO26),INDEX('1.Locations'!D2:D32,CO26 + 1),NA()),NA())</f>
        <v>#N/A</v>
      </c>
      <c r="CQ26" s="67" t="e">
        <f ca="1">IFERROR(IF(ISNUMBER(CO26),INDEX('1.Locations'!E2:E32,CO26 + 1),NA()),NA())</f>
        <v>#N/A</v>
      </c>
      <c r="CR26" s="68" t="str">
        <f ca="1">IFERROR(IF(ISNUMBER(CO26),INDEX('2.Distances'!C2:C962,CO25*31+CO26+ 1) +CR25," ")," ")</f>
        <v xml:space="preserve"> </v>
      </c>
      <c r="CS26" s="69" t="str">
        <f ca="1">IFERROR(IF(ISNUMBER(CO26),INDEX('2.Distances'!D2:D962,CO25*31+CO26 + 1) +CS25," ")," ")</f>
        <v xml:space="preserve"> </v>
      </c>
      <c r="CT26" s="70" t="str">
        <f ca="1">IFERROR(IF(ISNUMBER(CO26),INDEX('2.Distances'!D2:D962,CO25*31+CO26 + 1) +CU25," ")," ")</f>
        <v xml:space="preserve"> </v>
      </c>
      <c r="CU26" s="70" t="str">
        <f ca="1">IFERROR(IF(AND(CO5&lt;&gt;CO26,ISNUMBER(CT26)),INDEX('1.Locations'!I2:I32,CO26 + 1) + MAX(CT26,INDEX('1.Locations'!F2:F32,CO26 + 1))," ")," ")</f>
        <v xml:space="preserve"> </v>
      </c>
      <c r="CV26" s="69" t="str">
        <f ca="1">IFERROR(IF(CO5 = CO26, CT26 - CU5, CU26 - CU5)," ")</f>
        <v xml:space="preserve"> </v>
      </c>
      <c r="CW26" s="67" t="str">
        <f ca="1">IFERROR(IF(ISNUMBER(CO26),INDEX('1.Locations'!L2:L32,CO26 + 1) + CW25," ")," ")</f>
        <v xml:space="preserve"> </v>
      </c>
      <c r="CX26" s="67" t="str">
        <f ca="1">IFERROR(IF(ISNUMBER(CO26),INDEX('1.Locations'!J2:J32,CO26 + 1)," ")," ")</f>
        <v xml:space="preserve"> </v>
      </c>
      <c r="CY26" s="67" t="str">
        <f ca="1">IFERROR(IF(ISNUMBER(CO26),INDEX('1.Locations'!K2:K32,CO26 + 1)," ")," ")</f>
        <v xml:space="preserve"> </v>
      </c>
      <c r="CZ26" s="67" t="str">
        <f ca="1">IFERROR(IF(ISNUMBER(CO26),SUM(CX5:CX26) + SUM(CY27:CY36)," ")," ")</f>
        <v xml:space="preserve"> </v>
      </c>
      <c r="DB26" s="17">
        <v>21</v>
      </c>
      <c r="DC26" s="18"/>
      <c r="DD26" s="67" t="str">
        <f ca="1">IFERROR(MATCH(INDIRECT("DC26"),'1.Locations'!B2:B32, 0) - 1," ")</f>
        <v xml:space="preserve"> </v>
      </c>
      <c r="DE26" s="67" t="e">
        <f ca="1">IFERROR(IF(ISNUMBER(DD26),INDEX('1.Locations'!D2:D32,DD26 + 1),NA()),NA())</f>
        <v>#N/A</v>
      </c>
      <c r="DF26" s="67" t="e">
        <f ca="1">IFERROR(IF(ISNUMBER(DD26),INDEX('1.Locations'!E2:E32,DD26 + 1),NA()),NA())</f>
        <v>#N/A</v>
      </c>
      <c r="DG26" s="68" t="str">
        <f ca="1">IFERROR(IF(ISNUMBER(DD26),INDEX('2.Distances'!C2:C962,DD25*31+DD26+ 1) +DG25," ")," ")</f>
        <v xml:space="preserve"> </v>
      </c>
      <c r="DH26" s="69" t="str">
        <f ca="1">IFERROR(IF(ISNUMBER(DD26),INDEX('2.Distances'!D2:D962,DD25*31+DD26 + 1) +DH25," ")," ")</f>
        <v xml:space="preserve"> </v>
      </c>
      <c r="DI26" s="70" t="str">
        <f ca="1">IFERROR(IF(ISNUMBER(DD26),INDEX('2.Distances'!D2:D962,DD25*31+DD26 + 1) +DJ25," ")," ")</f>
        <v xml:space="preserve"> </v>
      </c>
      <c r="DJ26" s="70" t="str">
        <f ca="1">IFERROR(IF(AND(DD5&lt;&gt;DD26,ISNUMBER(DI26)),INDEX('1.Locations'!I2:I32,DD26 + 1) + MAX(DI26,INDEX('1.Locations'!F2:F32,DD26 + 1))," ")," ")</f>
        <v xml:space="preserve"> </v>
      </c>
      <c r="DK26" s="69" t="str">
        <f ca="1">IFERROR(IF(DD5 = DD26, DI26 - DJ5, DJ26 - DJ5)," ")</f>
        <v xml:space="preserve"> </v>
      </c>
      <c r="DL26" s="67" t="str">
        <f ca="1">IFERROR(IF(ISNUMBER(DD26),INDEX('1.Locations'!L2:L32,DD26 + 1) + DL25," ")," ")</f>
        <v xml:space="preserve"> </v>
      </c>
      <c r="DM26" s="67" t="str">
        <f ca="1">IFERROR(IF(ISNUMBER(DD26),INDEX('1.Locations'!J2:J32,DD26 + 1)," ")," ")</f>
        <v xml:space="preserve"> </v>
      </c>
      <c r="DN26" s="67" t="str">
        <f ca="1">IFERROR(IF(ISNUMBER(DD26),INDEX('1.Locations'!K2:K32,DD26 + 1)," ")," ")</f>
        <v xml:space="preserve"> </v>
      </c>
      <c r="DO26" s="67" t="str">
        <f ca="1">IFERROR(IF(ISNUMBER(DD26),SUM(DM5:DM26) + SUM(DN27:DN36)," ")," ")</f>
        <v xml:space="preserve"> </v>
      </c>
      <c r="DQ26" s="17">
        <v>21</v>
      </c>
      <c r="DR26" s="18"/>
      <c r="DS26" s="67" t="str">
        <f ca="1">IFERROR(MATCH(INDIRECT("DR26"),'1.Locations'!B2:B32, 0) - 1," ")</f>
        <v xml:space="preserve"> </v>
      </c>
      <c r="DT26" s="67" t="e">
        <f ca="1">IFERROR(IF(ISNUMBER(DS26),INDEX('1.Locations'!D2:D32,DS26 + 1),NA()),NA())</f>
        <v>#N/A</v>
      </c>
      <c r="DU26" s="67" t="e">
        <f ca="1">IFERROR(IF(ISNUMBER(DS26),INDEX('1.Locations'!E2:E32,DS26 + 1),NA()),NA())</f>
        <v>#N/A</v>
      </c>
      <c r="DV26" s="68" t="str">
        <f ca="1">IFERROR(IF(ISNUMBER(DS26),INDEX('2.Distances'!C2:C962,DS25*31+DS26+ 1) +DV25," ")," ")</f>
        <v xml:space="preserve"> </v>
      </c>
      <c r="DW26" s="69" t="str">
        <f ca="1">IFERROR(IF(ISNUMBER(DS26),INDEX('2.Distances'!D2:D962,DS25*31+DS26 + 1) +DW25," ")," ")</f>
        <v xml:space="preserve"> </v>
      </c>
      <c r="DX26" s="70" t="str">
        <f ca="1">IFERROR(IF(ISNUMBER(DS26),INDEX('2.Distances'!D2:D962,DS25*31+DS26 + 1) +DY25," ")," ")</f>
        <v xml:space="preserve"> </v>
      </c>
      <c r="DY26" s="70" t="str">
        <f ca="1">IFERROR(IF(AND(DS5&lt;&gt;DS26,ISNUMBER(DX26)),INDEX('1.Locations'!I2:I32,DS26 + 1) + MAX(DX26,INDEX('1.Locations'!F2:F32,DS26 + 1))," ")," ")</f>
        <v xml:space="preserve"> </v>
      </c>
      <c r="DZ26" s="69" t="str">
        <f ca="1">IFERROR(IF(DS5 = DS26, DX26 - DY5, DY26 - DY5)," ")</f>
        <v xml:space="preserve"> </v>
      </c>
      <c r="EA26" s="67" t="str">
        <f ca="1">IFERROR(IF(ISNUMBER(DS26),INDEX('1.Locations'!L2:L32,DS26 + 1) + EA25," ")," ")</f>
        <v xml:space="preserve"> </v>
      </c>
      <c r="EB26" s="67" t="str">
        <f ca="1">IFERROR(IF(ISNUMBER(DS26),INDEX('1.Locations'!J2:J32,DS26 + 1)," ")," ")</f>
        <v xml:space="preserve"> </v>
      </c>
      <c r="EC26" s="67" t="str">
        <f ca="1">IFERROR(IF(ISNUMBER(DS26),INDEX('1.Locations'!K2:K32,DS26 + 1)," ")," ")</f>
        <v xml:space="preserve"> </v>
      </c>
      <c r="ED26" s="67" t="str">
        <f ca="1">IFERROR(IF(ISNUMBER(DS26),SUM(EB5:EB26) + SUM(EC27:EC36)," ")," ")</f>
        <v xml:space="preserve"> </v>
      </c>
      <c r="EF26" s="17">
        <v>21</v>
      </c>
      <c r="EG26" s="18"/>
      <c r="EH26" s="67" t="str">
        <f ca="1">IFERROR(MATCH(INDIRECT("EG26"),'1.Locations'!B2:B32, 0) - 1," ")</f>
        <v xml:space="preserve"> </v>
      </c>
      <c r="EI26" s="67" t="e">
        <f ca="1">IFERROR(IF(ISNUMBER(EH26),INDEX('1.Locations'!D2:D32,EH26 + 1),NA()),NA())</f>
        <v>#N/A</v>
      </c>
      <c r="EJ26" s="67" t="e">
        <f ca="1">IFERROR(IF(ISNUMBER(EH26),INDEX('1.Locations'!E2:E32,EH26 + 1),NA()),NA())</f>
        <v>#N/A</v>
      </c>
      <c r="EK26" s="68" t="str">
        <f ca="1">IFERROR(IF(ISNUMBER(EH26),INDEX('2.Distances'!C2:C962,EH25*31+EH26+ 1) +EK25," ")," ")</f>
        <v xml:space="preserve"> </v>
      </c>
      <c r="EL26" s="69" t="str">
        <f ca="1">IFERROR(IF(ISNUMBER(EH26),INDEX('2.Distances'!D2:D962,EH25*31+EH26 + 1) +EL25," ")," ")</f>
        <v xml:space="preserve"> </v>
      </c>
      <c r="EM26" s="70" t="str">
        <f ca="1">IFERROR(IF(ISNUMBER(EH26),INDEX('2.Distances'!D2:D962,EH25*31+EH26 + 1) +EN25," ")," ")</f>
        <v xml:space="preserve"> </v>
      </c>
      <c r="EN26" s="70" t="str">
        <f ca="1">IFERROR(IF(AND(EH5&lt;&gt;EH26,ISNUMBER(EM26)),INDEX('1.Locations'!I2:I32,EH26 + 1) + MAX(EM26,INDEX('1.Locations'!F2:F32,EH26 + 1))," ")," ")</f>
        <v xml:space="preserve"> </v>
      </c>
      <c r="EO26" s="69" t="str">
        <f ca="1">IFERROR(IF(EH5 = EH26, EM26 - EN5, EN26 - EN5)," ")</f>
        <v xml:space="preserve"> </v>
      </c>
      <c r="EP26" s="67" t="str">
        <f ca="1">IFERROR(IF(ISNUMBER(EH26),INDEX('1.Locations'!L2:L32,EH26 + 1) + EP25," ")," ")</f>
        <v xml:space="preserve"> </v>
      </c>
      <c r="EQ26" s="67" t="str">
        <f ca="1">IFERROR(IF(ISNUMBER(EH26),INDEX('1.Locations'!J2:J32,EH26 + 1)," ")," ")</f>
        <v xml:space="preserve"> </v>
      </c>
      <c r="ER26" s="67" t="str">
        <f ca="1">IFERROR(IF(ISNUMBER(EH26),INDEX('1.Locations'!K2:K32,EH26 + 1)," ")," ")</f>
        <v xml:space="preserve"> </v>
      </c>
      <c r="ES26" s="67" t="str">
        <f ca="1">IFERROR(IF(ISNUMBER(EH26),SUM(EQ5:EQ26) + SUM(ER27:ER36)," ")," ")</f>
        <v xml:space="preserve"> </v>
      </c>
    </row>
    <row r="27" spans="1:149" x14ac:dyDescent="0.25">
      <c r="A27" s="17">
        <v>22</v>
      </c>
      <c r="B27" s="21"/>
      <c r="C27" s="67" t="str">
        <f ca="1">IFERROR(MATCH(INDIRECT("B27"),'1.Locations'!B2:B32, 0) - 1," ")</f>
        <v xml:space="preserve"> </v>
      </c>
      <c r="D27" s="67" t="e">
        <f ca="1">IFERROR(IF(ISNUMBER(C27),INDEX('1.Locations'!D2:D32,C27 + 1),NA()),NA())</f>
        <v>#N/A</v>
      </c>
      <c r="E27" s="67" t="e">
        <f ca="1">IFERROR(IF(ISNUMBER(C27),INDEX('1.Locations'!E2:E32,C27 + 1),NA()),NA())</f>
        <v>#N/A</v>
      </c>
      <c r="F27" s="68" t="str">
        <f ca="1">IFERROR(IF(ISNUMBER(C27),INDEX('2.Distances'!C2:C962,C26*31+C27+ 1) +F26," ")," ")</f>
        <v xml:space="preserve"> </v>
      </c>
      <c r="G27" s="69" t="str">
        <f ca="1">IFERROR(IF(ISNUMBER(C27),INDEX('2.Distances'!D2:D962,C26*31+C27 + 1) +G26," ")," ")</f>
        <v xml:space="preserve"> </v>
      </c>
      <c r="H27" s="70" t="str">
        <f ca="1">IFERROR(IF(ISNUMBER(C27),INDEX('2.Distances'!D2:D962,C26*31+C27 + 1) +I26," ")," ")</f>
        <v xml:space="preserve"> </v>
      </c>
      <c r="I27" s="70" t="str">
        <f ca="1">IFERROR(IF(AND(C5&lt;&gt;C27,ISNUMBER(H27)),INDEX('1.Locations'!I2:I32,C27 + 1) + MAX(H27,INDEX('1.Locations'!F2:F32,C27 + 1))," ")," ")</f>
        <v xml:space="preserve"> </v>
      </c>
      <c r="J27" s="69" t="str">
        <f ca="1">IFERROR(IF(C5 = C27, H27 - I5, I27 - I5)," ")</f>
        <v xml:space="preserve"> </v>
      </c>
      <c r="K27" s="67" t="str">
        <f ca="1">IFERROR(IF(ISNUMBER(C27),INDEX('1.Locations'!L2:L32,C27 + 1) + K26," ")," ")</f>
        <v xml:space="preserve"> </v>
      </c>
      <c r="L27" s="67" t="str">
        <f ca="1">IFERROR(IF(ISNUMBER(C27),INDEX('1.Locations'!J2:J32,C27 + 1)," ")," ")</f>
        <v xml:space="preserve"> </v>
      </c>
      <c r="M27" s="67" t="str">
        <f ca="1">IFERROR(IF(ISNUMBER(C27),INDEX('1.Locations'!K2:K32,C27 + 1)," ")," ")</f>
        <v xml:space="preserve"> </v>
      </c>
      <c r="N27" s="67" t="str">
        <f ca="1">IFERROR(IF(ISNUMBER(C27),SUM(L5:L27) + SUM(M28:M36)," ")," ")</f>
        <v xml:space="preserve"> </v>
      </c>
      <c r="P27" s="17">
        <v>22</v>
      </c>
      <c r="Q27" s="21"/>
      <c r="R27" s="67" t="str">
        <f ca="1">IFERROR(MATCH(INDIRECT("Q27"),'1.Locations'!B2:B32, 0) - 1," ")</f>
        <v xml:space="preserve"> </v>
      </c>
      <c r="S27" s="67" t="e">
        <f ca="1">IFERROR(IF(ISNUMBER(R27),INDEX('1.Locations'!D2:D32,R27 + 1),NA()),NA())</f>
        <v>#N/A</v>
      </c>
      <c r="T27" s="67" t="e">
        <f ca="1">IFERROR(IF(ISNUMBER(R27),INDEX('1.Locations'!E2:E32,R27 + 1),NA()),NA())</f>
        <v>#N/A</v>
      </c>
      <c r="U27" s="68" t="str">
        <f ca="1">IFERROR(IF(ISNUMBER(R27),INDEX('2.Distances'!C2:C962,R26*31+R27+ 1) +U26," ")," ")</f>
        <v xml:space="preserve"> </v>
      </c>
      <c r="V27" s="69" t="str">
        <f ca="1">IFERROR(IF(ISNUMBER(R27),INDEX('2.Distances'!D2:D962,R26*31+R27 + 1) +V26," ")," ")</f>
        <v xml:space="preserve"> </v>
      </c>
      <c r="W27" s="70" t="str">
        <f ca="1">IFERROR(IF(ISNUMBER(R27),INDEX('2.Distances'!D2:D962,R26*31+R27 + 1) +X26," ")," ")</f>
        <v xml:space="preserve"> </v>
      </c>
      <c r="X27" s="70" t="str">
        <f ca="1">IFERROR(IF(AND(R5&lt;&gt;R27,ISNUMBER(W27)),INDEX('1.Locations'!I2:I32,R27 + 1) + MAX(W27,INDEX('1.Locations'!F2:F32,R27 + 1))," ")," ")</f>
        <v xml:space="preserve"> </v>
      </c>
      <c r="Y27" s="69" t="str">
        <f ca="1">IFERROR(IF(R5 = R27, W27 - X5, X27 - X5)," ")</f>
        <v xml:space="preserve"> </v>
      </c>
      <c r="Z27" s="67" t="str">
        <f ca="1">IFERROR(IF(ISNUMBER(R27),INDEX('1.Locations'!L2:L32,R27 + 1) + Z26," ")," ")</f>
        <v xml:space="preserve"> </v>
      </c>
      <c r="AA27" s="67" t="str">
        <f ca="1">IFERROR(IF(ISNUMBER(R27),INDEX('1.Locations'!J2:J32,R27 + 1)," ")," ")</f>
        <v xml:space="preserve"> </v>
      </c>
      <c r="AB27" s="67" t="str">
        <f ca="1">IFERROR(IF(ISNUMBER(R27),INDEX('1.Locations'!K2:K32,R27 + 1)," ")," ")</f>
        <v xml:space="preserve"> </v>
      </c>
      <c r="AC27" s="67" t="str">
        <f ca="1">IFERROR(IF(ISNUMBER(R27),SUM(AA5:AA27) + SUM(AB28:AB36)," ")," ")</f>
        <v xml:space="preserve"> </v>
      </c>
      <c r="AE27" s="17">
        <v>22</v>
      </c>
      <c r="AF27" s="21"/>
      <c r="AG27" s="67" t="str">
        <f ca="1">IFERROR(MATCH(INDIRECT("AF27"),'1.Locations'!B2:B32, 0) - 1," ")</f>
        <v xml:space="preserve"> </v>
      </c>
      <c r="AH27" s="67" t="e">
        <f ca="1">IFERROR(IF(ISNUMBER(AG27),INDEX('1.Locations'!D2:D32,AG27 + 1),NA()),NA())</f>
        <v>#N/A</v>
      </c>
      <c r="AI27" s="67" t="e">
        <f ca="1">IFERROR(IF(ISNUMBER(AG27),INDEX('1.Locations'!E2:E32,AG27 + 1),NA()),NA())</f>
        <v>#N/A</v>
      </c>
      <c r="AJ27" s="68" t="str">
        <f ca="1">IFERROR(IF(ISNUMBER(AG27),INDEX('2.Distances'!C2:C962,AG26*31+AG27+ 1) +AJ26," ")," ")</f>
        <v xml:space="preserve"> </v>
      </c>
      <c r="AK27" s="69" t="str">
        <f ca="1">IFERROR(IF(ISNUMBER(AG27),INDEX('2.Distances'!D2:D962,AG26*31+AG27 + 1) +AK26," ")," ")</f>
        <v xml:space="preserve"> </v>
      </c>
      <c r="AL27" s="70" t="str">
        <f ca="1">IFERROR(IF(ISNUMBER(AG27),INDEX('2.Distances'!D2:D962,AG26*31+AG27 + 1) +AM26," ")," ")</f>
        <v xml:space="preserve"> </v>
      </c>
      <c r="AM27" s="70" t="str">
        <f ca="1">IFERROR(IF(AND(AG5&lt;&gt;AG27,ISNUMBER(AL27)),INDEX('1.Locations'!I2:I32,AG27 + 1) + MAX(AL27,INDEX('1.Locations'!F2:F32,AG27 + 1))," ")," ")</f>
        <v xml:space="preserve"> </v>
      </c>
      <c r="AN27" s="69" t="str">
        <f ca="1">IFERROR(IF(AG5 = AG27, AL27 - AM5, AM27 - AM5)," ")</f>
        <v xml:space="preserve"> </v>
      </c>
      <c r="AO27" s="67" t="str">
        <f ca="1">IFERROR(IF(ISNUMBER(AG27),INDEX('1.Locations'!L2:L32,AG27 + 1) + AO26," ")," ")</f>
        <v xml:space="preserve"> </v>
      </c>
      <c r="AP27" s="67" t="str">
        <f ca="1">IFERROR(IF(ISNUMBER(AG27),INDEX('1.Locations'!J2:J32,AG27 + 1)," ")," ")</f>
        <v xml:space="preserve"> </v>
      </c>
      <c r="AQ27" s="67" t="str">
        <f ca="1">IFERROR(IF(ISNUMBER(AG27),INDEX('1.Locations'!K2:K32,AG27 + 1)," ")," ")</f>
        <v xml:space="preserve"> </v>
      </c>
      <c r="AR27" s="67" t="str">
        <f ca="1">IFERROR(IF(ISNUMBER(AG27),SUM(AP5:AP27) + SUM(AQ28:AQ36)," ")," ")</f>
        <v xml:space="preserve"> </v>
      </c>
      <c r="AT27" s="17">
        <v>22</v>
      </c>
      <c r="AU27" s="21"/>
      <c r="AV27" s="67" t="str">
        <f ca="1">IFERROR(MATCH(INDIRECT("AU27"),'1.Locations'!B2:B32, 0) - 1," ")</f>
        <v xml:space="preserve"> </v>
      </c>
      <c r="AW27" s="67" t="e">
        <f ca="1">IFERROR(IF(ISNUMBER(AV27),INDEX('1.Locations'!D2:D32,AV27 + 1),NA()),NA())</f>
        <v>#N/A</v>
      </c>
      <c r="AX27" s="67" t="e">
        <f ca="1">IFERROR(IF(ISNUMBER(AV27),INDEX('1.Locations'!E2:E32,AV27 + 1),NA()),NA())</f>
        <v>#N/A</v>
      </c>
      <c r="AY27" s="68" t="str">
        <f ca="1">IFERROR(IF(ISNUMBER(AV27),INDEX('2.Distances'!C2:C962,AV26*31+AV27+ 1) +AY26," ")," ")</f>
        <v xml:space="preserve"> </v>
      </c>
      <c r="AZ27" s="69" t="str">
        <f ca="1">IFERROR(IF(ISNUMBER(AV27),INDEX('2.Distances'!D2:D962,AV26*31+AV27 + 1) +AZ26," ")," ")</f>
        <v xml:space="preserve"> </v>
      </c>
      <c r="BA27" s="70" t="str">
        <f ca="1">IFERROR(IF(ISNUMBER(AV27),INDEX('2.Distances'!D2:D962,AV26*31+AV27 + 1) +BB26," ")," ")</f>
        <v xml:space="preserve"> </v>
      </c>
      <c r="BB27" s="70" t="str">
        <f ca="1">IFERROR(IF(AND(AV5&lt;&gt;AV27,ISNUMBER(BA27)),INDEX('1.Locations'!I2:I32,AV27 + 1) + MAX(BA27,INDEX('1.Locations'!F2:F32,AV27 + 1))," ")," ")</f>
        <v xml:space="preserve"> </v>
      </c>
      <c r="BC27" s="69" t="str">
        <f ca="1">IFERROR(IF(AV5 = AV27, BA27 - BB5, BB27 - BB5)," ")</f>
        <v xml:space="preserve"> </v>
      </c>
      <c r="BD27" s="67" t="str">
        <f ca="1">IFERROR(IF(ISNUMBER(AV27),INDEX('1.Locations'!L2:L32,AV27 + 1) + BD26," ")," ")</f>
        <v xml:space="preserve"> </v>
      </c>
      <c r="BE27" s="67" t="str">
        <f ca="1">IFERROR(IF(ISNUMBER(AV27),INDEX('1.Locations'!J2:J32,AV27 + 1)," ")," ")</f>
        <v xml:space="preserve"> </v>
      </c>
      <c r="BF27" s="67" t="str">
        <f ca="1">IFERROR(IF(ISNUMBER(AV27),INDEX('1.Locations'!K2:K32,AV27 + 1)," ")," ")</f>
        <v xml:space="preserve"> </v>
      </c>
      <c r="BG27" s="67" t="str">
        <f ca="1">IFERROR(IF(ISNUMBER(AV27),SUM(BE5:BE27) + SUM(BF28:BF36)," ")," ")</f>
        <v xml:space="preserve"> </v>
      </c>
      <c r="BI27" s="17">
        <v>22</v>
      </c>
      <c r="BJ27" s="21"/>
      <c r="BK27" s="67" t="str">
        <f ca="1">IFERROR(MATCH(INDIRECT("BJ27"),'1.Locations'!B2:B32, 0) - 1," ")</f>
        <v xml:space="preserve"> </v>
      </c>
      <c r="BL27" s="67" t="e">
        <f ca="1">IFERROR(IF(ISNUMBER(BK27),INDEX('1.Locations'!D2:D32,BK27 + 1),NA()),NA())</f>
        <v>#N/A</v>
      </c>
      <c r="BM27" s="67" t="e">
        <f ca="1">IFERROR(IF(ISNUMBER(BK27),INDEX('1.Locations'!E2:E32,BK27 + 1),NA()),NA())</f>
        <v>#N/A</v>
      </c>
      <c r="BN27" s="68" t="str">
        <f ca="1">IFERROR(IF(ISNUMBER(BK27),INDEX('2.Distances'!C2:C962,BK26*31+BK27+ 1) +BN26," ")," ")</f>
        <v xml:space="preserve"> </v>
      </c>
      <c r="BO27" s="69" t="str">
        <f ca="1">IFERROR(IF(ISNUMBER(BK27),INDEX('2.Distances'!D2:D962,BK26*31+BK27 + 1) +BO26," ")," ")</f>
        <v xml:space="preserve"> </v>
      </c>
      <c r="BP27" s="70" t="str">
        <f ca="1">IFERROR(IF(ISNUMBER(BK27),INDEX('2.Distances'!D2:D962,BK26*31+BK27 + 1) +BQ26," ")," ")</f>
        <v xml:space="preserve"> </v>
      </c>
      <c r="BQ27" s="70" t="str">
        <f ca="1">IFERROR(IF(AND(BK5&lt;&gt;BK27,ISNUMBER(BP27)),INDEX('1.Locations'!I2:I32,BK27 + 1) + MAX(BP27,INDEX('1.Locations'!F2:F32,BK27 + 1))," ")," ")</f>
        <v xml:space="preserve"> </v>
      </c>
      <c r="BR27" s="69" t="str">
        <f ca="1">IFERROR(IF(BK5 = BK27, BP27 - BQ5, BQ27 - BQ5)," ")</f>
        <v xml:space="preserve"> </v>
      </c>
      <c r="BS27" s="67" t="str">
        <f ca="1">IFERROR(IF(ISNUMBER(BK27),INDEX('1.Locations'!L2:L32,BK27 + 1) + BS26," ")," ")</f>
        <v xml:space="preserve"> </v>
      </c>
      <c r="BT27" s="67" t="str">
        <f ca="1">IFERROR(IF(ISNUMBER(BK27),INDEX('1.Locations'!J2:J32,BK27 + 1)," ")," ")</f>
        <v xml:space="preserve"> </v>
      </c>
      <c r="BU27" s="67" t="str">
        <f ca="1">IFERROR(IF(ISNUMBER(BK27),INDEX('1.Locations'!K2:K32,BK27 + 1)," ")," ")</f>
        <v xml:space="preserve"> </v>
      </c>
      <c r="BV27" s="67" t="str">
        <f ca="1">IFERROR(IF(ISNUMBER(BK27),SUM(BT5:BT27) + SUM(BU28:BU36)," ")," ")</f>
        <v xml:space="preserve"> </v>
      </c>
      <c r="BX27" s="17">
        <v>22</v>
      </c>
      <c r="BY27" s="21"/>
      <c r="BZ27" s="67" t="str">
        <f ca="1">IFERROR(MATCH(INDIRECT("BY27"),'1.Locations'!B2:B32, 0) - 1," ")</f>
        <v xml:space="preserve"> </v>
      </c>
      <c r="CA27" s="67" t="e">
        <f ca="1">IFERROR(IF(ISNUMBER(BZ27),INDEX('1.Locations'!D2:D32,BZ27 + 1),NA()),NA())</f>
        <v>#N/A</v>
      </c>
      <c r="CB27" s="67" t="e">
        <f ca="1">IFERROR(IF(ISNUMBER(BZ27),INDEX('1.Locations'!E2:E32,BZ27 + 1),NA()),NA())</f>
        <v>#N/A</v>
      </c>
      <c r="CC27" s="68" t="str">
        <f ca="1">IFERROR(IF(ISNUMBER(BZ27),INDEX('2.Distances'!C2:C962,BZ26*31+BZ27+ 1) +CC26," ")," ")</f>
        <v xml:space="preserve"> </v>
      </c>
      <c r="CD27" s="69" t="str">
        <f ca="1">IFERROR(IF(ISNUMBER(BZ27),INDEX('2.Distances'!D2:D962,BZ26*31+BZ27 + 1) +CD26," ")," ")</f>
        <v xml:space="preserve"> </v>
      </c>
      <c r="CE27" s="70" t="str">
        <f ca="1">IFERROR(IF(ISNUMBER(BZ27),INDEX('2.Distances'!D2:D962,BZ26*31+BZ27 + 1) +CF26," ")," ")</f>
        <v xml:space="preserve"> </v>
      </c>
      <c r="CF27" s="70" t="str">
        <f ca="1">IFERROR(IF(AND(BZ5&lt;&gt;BZ27,ISNUMBER(CE27)),INDEX('1.Locations'!I2:I32,BZ27 + 1) + MAX(CE27,INDEX('1.Locations'!F2:F32,BZ27 + 1))," ")," ")</f>
        <v xml:space="preserve"> </v>
      </c>
      <c r="CG27" s="69" t="str">
        <f ca="1">IFERROR(IF(BZ5 = BZ27, CE27 - CF5, CF27 - CF5)," ")</f>
        <v xml:space="preserve"> </v>
      </c>
      <c r="CH27" s="67" t="str">
        <f ca="1">IFERROR(IF(ISNUMBER(BZ27),INDEX('1.Locations'!L2:L32,BZ27 + 1) + CH26," ")," ")</f>
        <v xml:space="preserve"> </v>
      </c>
      <c r="CI27" s="67" t="str">
        <f ca="1">IFERROR(IF(ISNUMBER(BZ27),INDEX('1.Locations'!J2:J32,BZ27 + 1)," ")," ")</f>
        <v xml:space="preserve"> </v>
      </c>
      <c r="CJ27" s="67" t="str">
        <f ca="1">IFERROR(IF(ISNUMBER(BZ27),INDEX('1.Locations'!K2:K32,BZ27 + 1)," ")," ")</f>
        <v xml:space="preserve"> </v>
      </c>
      <c r="CK27" s="67" t="str">
        <f ca="1">IFERROR(IF(ISNUMBER(BZ27),SUM(CI5:CI27) + SUM(CJ28:CJ36)," ")," ")</f>
        <v xml:space="preserve"> </v>
      </c>
      <c r="CM27" s="17">
        <v>22</v>
      </c>
      <c r="CN27" s="21"/>
      <c r="CO27" s="67" t="str">
        <f ca="1">IFERROR(MATCH(INDIRECT("CN27"),'1.Locations'!B2:B32, 0) - 1," ")</f>
        <v xml:space="preserve"> </v>
      </c>
      <c r="CP27" s="67" t="e">
        <f ca="1">IFERROR(IF(ISNUMBER(CO27),INDEX('1.Locations'!D2:D32,CO27 + 1),NA()),NA())</f>
        <v>#N/A</v>
      </c>
      <c r="CQ27" s="67" t="e">
        <f ca="1">IFERROR(IF(ISNUMBER(CO27),INDEX('1.Locations'!E2:E32,CO27 + 1),NA()),NA())</f>
        <v>#N/A</v>
      </c>
      <c r="CR27" s="68" t="str">
        <f ca="1">IFERROR(IF(ISNUMBER(CO27),INDEX('2.Distances'!C2:C962,CO26*31+CO27+ 1) +CR26," ")," ")</f>
        <v xml:space="preserve"> </v>
      </c>
      <c r="CS27" s="69" t="str">
        <f ca="1">IFERROR(IF(ISNUMBER(CO27),INDEX('2.Distances'!D2:D962,CO26*31+CO27 + 1) +CS26," ")," ")</f>
        <v xml:space="preserve"> </v>
      </c>
      <c r="CT27" s="70" t="str">
        <f ca="1">IFERROR(IF(ISNUMBER(CO27),INDEX('2.Distances'!D2:D962,CO26*31+CO27 + 1) +CU26," ")," ")</f>
        <v xml:space="preserve"> </v>
      </c>
      <c r="CU27" s="70" t="str">
        <f ca="1">IFERROR(IF(AND(CO5&lt;&gt;CO27,ISNUMBER(CT27)),INDEX('1.Locations'!I2:I32,CO27 + 1) + MAX(CT27,INDEX('1.Locations'!F2:F32,CO27 + 1))," ")," ")</f>
        <v xml:space="preserve"> </v>
      </c>
      <c r="CV27" s="69" t="str">
        <f ca="1">IFERROR(IF(CO5 = CO27, CT27 - CU5, CU27 - CU5)," ")</f>
        <v xml:space="preserve"> </v>
      </c>
      <c r="CW27" s="67" t="str">
        <f ca="1">IFERROR(IF(ISNUMBER(CO27),INDEX('1.Locations'!L2:L32,CO27 + 1) + CW26," ")," ")</f>
        <v xml:space="preserve"> </v>
      </c>
      <c r="CX27" s="67" t="str">
        <f ca="1">IFERROR(IF(ISNUMBER(CO27),INDEX('1.Locations'!J2:J32,CO27 + 1)," ")," ")</f>
        <v xml:space="preserve"> </v>
      </c>
      <c r="CY27" s="67" t="str">
        <f ca="1">IFERROR(IF(ISNUMBER(CO27),INDEX('1.Locations'!K2:K32,CO27 + 1)," ")," ")</f>
        <v xml:space="preserve"> </v>
      </c>
      <c r="CZ27" s="67" t="str">
        <f ca="1">IFERROR(IF(ISNUMBER(CO27),SUM(CX5:CX27) + SUM(CY28:CY36)," ")," ")</f>
        <v xml:space="preserve"> </v>
      </c>
      <c r="DB27" s="17">
        <v>22</v>
      </c>
      <c r="DC27" s="21"/>
      <c r="DD27" s="67" t="str">
        <f ca="1">IFERROR(MATCH(INDIRECT("DC27"),'1.Locations'!B2:B32, 0) - 1," ")</f>
        <v xml:space="preserve"> </v>
      </c>
      <c r="DE27" s="67" t="e">
        <f ca="1">IFERROR(IF(ISNUMBER(DD27),INDEX('1.Locations'!D2:D32,DD27 + 1),NA()),NA())</f>
        <v>#N/A</v>
      </c>
      <c r="DF27" s="67" t="e">
        <f ca="1">IFERROR(IF(ISNUMBER(DD27),INDEX('1.Locations'!E2:E32,DD27 + 1),NA()),NA())</f>
        <v>#N/A</v>
      </c>
      <c r="DG27" s="68" t="str">
        <f ca="1">IFERROR(IF(ISNUMBER(DD27),INDEX('2.Distances'!C2:C962,DD26*31+DD27+ 1) +DG26," ")," ")</f>
        <v xml:space="preserve"> </v>
      </c>
      <c r="DH27" s="69" t="str">
        <f ca="1">IFERROR(IF(ISNUMBER(DD27),INDEX('2.Distances'!D2:D962,DD26*31+DD27 + 1) +DH26," ")," ")</f>
        <v xml:space="preserve"> </v>
      </c>
      <c r="DI27" s="70" t="str">
        <f ca="1">IFERROR(IF(ISNUMBER(DD27),INDEX('2.Distances'!D2:D962,DD26*31+DD27 + 1) +DJ26," ")," ")</f>
        <v xml:space="preserve"> </v>
      </c>
      <c r="DJ27" s="70" t="str">
        <f ca="1">IFERROR(IF(AND(DD5&lt;&gt;DD27,ISNUMBER(DI27)),INDEX('1.Locations'!I2:I32,DD27 + 1) + MAX(DI27,INDEX('1.Locations'!F2:F32,DD27 + 1))," ")," ")</f>
        <v xml:space="preserve"> </v>
      </c>
      <c r="DK27" s="69" t="str">
        <f ca="1">IFERROR(IF(DD5 = DD27, DI27 - DJ5, DJ27 - DJ5)," ")</f>
        <v xml:space="preserve"> </v>
      </c>
      <c r="DL27" s="67" t="str">
        <f ca="1">IFERROR(IF(ISNUMBER(DD27),INDEX('1.Locations'!L2:L32,DD27 + 1) + DL26," ")," ")</f>
        <v xml:space="preserve"> </v>
      </c>
      <c r="DM27" s="67" t="str">
        <f ca="1">IFERROR(IF(ISNUMBER(DD27),INDEX('1.Locations'!J2:J32,DD27 + 1)," ")," ")</f>
        <v xml:space="preserve"> </v>
      </c>
      <c r="DN27" s="67" t="str">
        <f ca="1">IFERROR(IF(ISNUMBER(DD27),INDEX('1.Locations'!K2:K32,DD27 + 1)," ")," ")</f>
        <v xml:space="preserve"> </v>
      </c>
      <c r="DO27" s="67" t="str">
        <f ca="1">IFERROR(IF(ISNUMBER(DD27),SUM(DM5:DM27) + SUM(DN28:DN36)," ")," ")</f>
        <v xml:space="preserve"> </v>
      </c>
      <c r="DQ27" s="17">
        <v>22</v>
      </c>
      <c r="DR27" s="21"/>
      <c r="DS27" s="67" t="str">
        <f ca="1">IFERROR(MATCH(INDIRECT("DR27"),'1.Locations'!B2:B32, 0) - 1," ")</f>
        <v xml:space="preserve"> </v>
      </c>
      <c r="DT27" s="67" t="e">
        <f ca="1">IFERROR(IF(ISNUMBER(DS27),INDEX('1.Locations'!D2:D32,DS27 + 1),NA()),NA())</f>
        <v>#N/A</v>
      </c>
      <c r="DU27" s="67" t="e">
        <f ca="1">IFERROR(IF(ISNUMBER(DS27),INDEX('1.Locations'!E2:E32,DS27 + 1),NA()),NA())</f>
        <v>#N/A</v>
      </c>
      <c r="DV27" s="68" t="str">
        <f ca="1">IFERROR(IF(ISNUMBER(DS27),INDEX('2.Distances'!C2:C962,DS26*31+DS27+ 1) +DV26," ")," ")</f>
        <v xml:space="preserve"> </v>
      </c>
      <c r="DW27" s="69" t="str">
        <f ca="1">IFERROR(IF(ISNUMBER(DS27),INDEX('2.Distances'!D2:D962,DS26*31+DS27 + 1) +DW26," ")," ")</f>
        <v xml:space="preserve"> </v>
      </c>
      <c r="DX27" s="70" t="str">
        <f ca="1">IFERROR(IF(ISNUMBER(DS27),INDEX('2.Distances'!D2:D962,DS26*31+DS27 + 1) +DY26," ")," ")</f>
        <v xml:space="preserve"> </v>
      </c>
      <c r="DY27" s="70" t="str">
        <f ca="1">IFERROR(IF(AND(DS5&lt;&gt;DS27,ISNUMBER(DX27)),INDEX('1.Locations'!I2:I32,DS27 + 1) + MAX(DX27,INDEX('1.Locations'!F2:F32,DS27 + 1))," ")," ")</f>
        <v xml:space="preserve"> </v>
      </c>
      <c r="DZ27" s="69" t="str">
        <f ca="1">IFERROR(IF(DS5 = DS27, DX27 - DY5, DY27 - DY5)," ")</f>
        <v xml:space="preserve"> </v>
      </c>
      <c r="EA27" s="67" t="str">
        <f ca="1">IFERROR(IF(ISNUMBER(DS27),INDEX('1.Locations'!L2:L32,DS27 + 1) + EA26," ")," ")</f>
        <v xml:space="preserve"> </v>
      </c>
      <c r="EB27" s="67" t="str">
        <f ca="1">IFERROR(IF(ISNUMBER(DS27),INDEX('1.Locations'!J2:J32,DS27 + 1)," ")," ")</f>
        <v xml:space="preserve"> </v>
      </c>
      <c r="EC27" s="67" t="str">
        <f ca="1">IFERROR(IF(ISNUMBER(DS27),INDEX('1.Locations'!K2:K32,DS27 + 1)," ")," ")</f>
        <v xml:space="preserve"> </v>
      </c>
      <c r="ED27" s="67" t="str">
        <f ca="1">IFERROR(IF(ISNUMBER(DS27),SUM(EB5:EB27) + SUM(EC28:EC36)," ")," ")</f>
        <v xml:space="preserve"> </v>
      </c>
      <c r="EF27" s="17">
        <v>22</v>
      </c>
      <c r="EG27" s="21"/>
      <c r="EH27" s="67" t="str">
        <f ca="1">IFERROR(MATCH(INDIRECT("EG27"),'1.Locations'!B2:B32, 0) - 1," ")</f>
        <v xml:space="preserve"> </v>
      </c>
      <c r="EI27" s="67" t="e">
        <f ca="1">IFERROR(IF(ISNUMBER(EH27),INDEX('1.Locations'!D2:D32,EH27 + 1),NA()),NA())</f>
        <v>#N/A</v>
      </c>
      <c r="EJ27" s="67" t="e">
        <f ca="1">IFERROR(IF(ISNUMBER(EH27),INDEX('1.Locations'!E2:E32,EH27 + 1),NA()),NA())</f>
        <v>#N/A</v>
      </c>
      <c r="EK27" s="68" t="str">
        <f ca="1">IFERROR(IF(ISNUMBER(EH27),INDEX('2.Distances'!C2:C962,EH26*31+EH27+ 1) +EK26," ")," ")</f>
        <v xml:space="preserve"> </v>
      </c>
      <c r="EL27" s="69" t="str">
        <f ca="1">IFERROR(IF(ISNUMBER(EH27),INDEX('2.Distances'!D2:D962,EH26*31+EH27 + 1) +EL26," ")," ")</f>
        <v xml:space="preserve"> </v>
      </c>
      <c r="EM27" s="70" t="str">
        <f ca="1">IFERROR(IF(ISNUMBER(EH27),INDEX('2.Distances'!D2:D962,EH26*31+EH27 + 1) +EN26," ")," ")</f>
        <v xml:space="preserve"> </v>
      </c>
      <c r="EN27" s="70" t="str">
        <f ca="1">IFERROR(IF(AND(EH5&lt;&gt;EH27,ISNUMBER(EM27)),INDEX('1.Locations'!I2:I32,EH27 + 1) + MAX(EM27,INDEX('1.Locations'!F2:F32,EH27 + 1))," ")," ")</f>
        <v xml:space="preserve"> </v>
      </c>
      <c r="EO27" s="69" t="str">
        <f ca="1">IFERROR(IF(EH5 = EH27, EM27 - EN5, EN27 - EN5)," ")</f>
        <v xml:space="preserve"> </v>
      </c>
      <c r="EP27" s="67" t="str">
        <f ca="1">IFERROR(IF(ISNUMBER(EH27),INDEX('1.Locations'!L2:L32,EH27 + 1) + EP26," ")," ")</f>
        <v xml:space="preserve"> </v>
      </c>
      <c r="EQ27" s="67" t="str">
        <f ca="1">IFERROR(IF(ISNUMBER(EH27),INDEX('1.Locations'!J2:J32,EH27 + 1)," ")," ")</f>
        <v xml:space="preserve"> </v>
      </c>
      <c r="ER27" s="67" t="str">
        <f ca="1">IFERROR(IF(ISNUMBER(EH27),INDEX('1.Locations'!K2:K32,EH27 + 1)," ")," ")</f>
        <v xml:space="preserve"> </v>
      </c>
      <c r="ES27" s="67" t="str">
        <f ca="1">IFERROR(IF(ISNUMBER(EH27),SUM(EQ5:EQ27) + SUM(ER28:ER36)," ")," ")</f>
        <v xml:space="preserve"> </v>
      </c>
    </row>
    <row r="28" spans="1:149" x14ac:dyDescent="0.25">
      <c r="A28" s="17">
        <v>23</v>
      </c>
      <c r="B28" s="18"/>
      <c r="C28" s="67" t="str">
        <f ca="1">IFERROR(MATCH(INDIRECT("B28"),'1.Locations'!B2:B32, 0) - 1," ")</f>
        <v xml:space="preserve"> </v>
      </c>
      <c r="D28" s="67" t="e">
        <f ca="1">IFERROR(IF(ISNUMBER(C28),INDEX('1.Locations'!D2:D32,C28 + 1),NA()),NA())</f>
        <v>#N/A</v>
      </c>
      <c r="E28" s="67" t="e">
        <f ca="1">IFERROR(IF(ISNUMBER(C28),INDEX('1.Locations'!E2:E32,C28 + 1),NA()),NA())</f>
        <v>#N/A</v>
      </c>
      <c r="F28" s="68" t="str">
        <f ca="1">IFERROR(IF(ISNUMBER(C28),INDEX('2.Distances'!C2:C962,C27*31+C28+ 1) +F27," ")," ")</f>
        <v xml:space="preserve"> </v>
      </c>
      <c r="G28" s="69" t="str">
        <f ca="1">IFERROR(IF(ISNUMBER(C28),INDEX('2.Distances'!D2:D962,C27*31+C28 + 1) +G27," ")," ")</f>
        <v xml:space="preserve"> </v>
      </c>
      <c r="H28" s="70" t="str">
        <f ca="1">IFERROR(IF(ISNUMBER(C28),INDEX('2.Distances'!D2:D962,C27*31+C28 + 1) +I27," ")," ")</f>
        <v xml:space="preserve"> </v>
      </c>
      <c r="I28" s="70" t="str">
        <f ca="1">IFERROR(IF(AND(C5&lt;&gt;C28,ISNUMBER(H28)),INDEX('1.Locations'!I2:I32,C28 + 1) + MAX(H28,INDEX('1.Locations'!F2:F32,C28 + 1))," ")," ")</f>
        <v xml:space="preserve"> </v>
      </c>
      <c r="J28" s="69" t="str">
        <f ca="1">IFERROR(IF(C5 = C28, H28 - I5, I28 - I5)," ")</f>
        <v xml:space="preserve"> </v>
      </c>
      <c r="K28" s="67" t="str">
        <f ca="1">IFERROR(IF(ISNUMBER(C28),INDEX('1.Locations'!L2:L32,C28 + 1) + K27," ")," ")</f>
        <v xml:space="preserve"> </v>
      </c>
      <c r="L28" s="67" t="str">
        <f ca="1">IFERROR(IF(ISNUMBER(C28),INDEX('1.Locations'!J2:J32,C28 + 1)," ")," ")</f>
        <v xml:space="preserve"> </v>
      </c>
      <c r="M28" s="67" t="str">
        <f ca="1">IFERROR(IF(ISNUMBER(C28),INDEX('1.Locations'!K2:K32,C28 + 1)," ")," ")</f>
        <v xml:space="preserve"> </v>
      </c>
      <c r="N28" s="67" t="str">
        <f ca="1">IFERROR(IF(ISNUMBER(C28),SUM(L5:L28) + SUM(M29:M36)," ")," ")</f>
        <v xml:space="preserve"> </v>
      </c>
      <c r="P28" s="17">
        <v>23</v>
      </c>
      <c r="Q28" s="18"/>
      <c r="R28" s="67" t="str">
        <f ca="1">IFERROR(MATCH(INDIRECT("Q28"),'1.Locations'!B2:B32, 0) - 1," ")</f>
        <v xml:space="preserve"> </v>
      </c>
      <c r="S28" s="67" t="e">
        <f ca="1">IFERROR(IF(ISNUMBER(R28),INDEX('1.Locations'!D2:D32,R28 + 1),NA()),NA())</f>
        <v>#N/A</v>
      </c>
      <c r="T28" s="67" t="e">
        <f ca="1">IFERROR(IF(ISNUMBER(R28),INDEX('1.Locations'!E2:E32,R28 + 1),NA()),NA())</f>
        <v>#N/A</v>
      </c>
      <c r="U28" s="68" t="str">
        <f ca="1">IFERROR(IF(ISNUMBER(R28),INDEX('2.Distances'!C2:C962,R27*31+R28+ 1) +U27," ")," ")</f>
        <v xml:space="preserve"> </v>
      </c>
      <c r="V28" s="69" t="str">
        <f ca="1">IFERROR(IF(ISNUMBER(R28),INDEX('2.Distances'!D2:D962,R27*31+R28 + 1) +V27," ")," ")</f>
        <v xml:space="preserve"> </v>
      </c>
      <c r="W28" s="70" t="str">
        <f ca="1">IFERROR(IF(ISNUMBER(R28),INDEX('2.Distances'!D2:D962,R27*31+R28 + 1) +X27," ")," ")</f>
        <v xml:space="preserve"> </v>
      </c>
      <c r="X28" s="70" t="str">
        <f ca="1">IFERROR(IF(AND(R5&lt;&gt;R28,ISNUMBER(W28)),INDEX('1.Locations'!I2:I32,R28 + 1) + MAX(W28,INDEX('1.Locations'!F2:F32,R28 + 1))," ")," ")</f>
        <v xml:space="preserve"> </v>
      </c>
      <c r="Y28" s="69" t="str">
        <f ca="1">IFERROR(IF(R5 = R28, W28 - X5, X28 - X5)," ")</f>
        <v xml:space="preserve"> </v>
      </c>
      <c r="Z28" s="67" t="str">
        <f ca="1">IFERROR(IF(ISNUMBER(R28),INDEX('1.Locations'!L2:L32,R28 + 1) + Z27," ")," ")</f>
        <v xml:space="preserve"> </v>
      </c>
      <c r="AA28" s="67" t="str">
        <f ca="1">IFERROR(IF(ISNUMBER(R28),INDEX('1.Locations'!J2:J32,R28 + 1)," ")," ")</f>
        <v xml:space="preserve"> </v>
      </c>
      <c r="AB28" s="67" t="str">
        <f ca="1">IFERROR(IF(ISNUMBER(R28),INDEX('1.Locations'!K2:K32,R28 + 1)," ")," ")</f>
        <v xml:space="preserve"> </v>
      </c>
      <c r="AC28" s="67" t="str">
        <f ca="1">IFERROR(IF(ISNUMBER(R28),SUM(AA5:AA28) + SUM(AB29:AB36)," ")," ")</f>
        <v xml:space="preserve"> </v>
      </c>
      <c r="AE28" s="17">
        <v>23</v>
      </c>
      <c r="AF28" s="18"/>
      <c r="AG28" s="67" t="str">
        <f ca="1">IFERROR(MATCH(INDIRECT("AF28"),'1.Locations'!B2:B32, 0) - 1," ")</f>
        <v xml:space="preserve"> </v>
      </c>
      <c r="AH28" s="67" t="e">
        <f ca="1">IFERROR(IF(ISNUMBER(AG28),INDEX('1.Locations'!D2:D32,AG28 + 1),NA()),NA())</f>
        <v>#N/A</v>
      </c>
      <c r="AI28" s="67" t="e">
        <f ca="1">IFERROR(IF(ISNUMBER(AG28),INDEX('1.Locations'!E2:E32,AG28 + 1),NA()),NA())</f>
        <v>#N/A</v>
      </c>
      <c r="AJ28" s="68" t="str">
        <f ca="1">IFERROR(IF(ISNUMBER(AG28),INDEX('2.Distances'!C2:C962,AG27*31+AG28+ 1) +AJ27," ")," ")</f>
        <v xml:space="preserve"> </v>
      </c>
      <c r="AK28" s="69" t="str">
        <f ca="1">IFERROR(IF(ISNUMBER(AG28),INDEX('2.Distances'!D2:D962,AG27*31+AG28 + 1) +AK27," ")," ")</f>
        <v xml:space="preserve"> </v>
      </c>
      <c r="AL28" s="70" t="str">
        <f ca="1">IFERROR(IF(ISNUMBER(AG28),INDEX('2.Distances'!D2:D962,AG27*31+AG28 + 1) +AM27," ")," ")</f>
        <v xml:space="preserve"> </v>
      </c>
      <c r="AM28" s="70" t="str">
        <f ca="1">IFERROR(IF(AND(AG5&lt;&gt;AG28,ISNUMBER(AL28)),INDEX('1.Locations'!I2:I32,AG28 + 1) + MAX(AL28,INDEX('1.Locations'!F2:F32,AG28 + 1))," ")," ")</f>
        <v xml:space="preserve"> </v>
      </c>
      <c r="AN28" s="69" t="str">
        <f ca="1">IFERROR(IF(AG5 = AG28, AL28 - AM5, AM28 - AM5)," ")</f>
        <v xml:space="preserve"> </v>
      </c>
      <c r="AO28" s="67" t="str">
        <f ca="1">IFERROR(IF(ISNUMBER(AG28),INDEX('1.Locations'!L2:L32,AG28 + 1) + AO27," ")," ")</f>
        <v xml:space="preserve"> </v>
      </c>
      <c r="AP28" s="67" t="str">
        <f ca="1">IFERROR(IF(ISNUMBER(AG28),INDEX('1.Locations'!J2:J32,AG28 + 1)," ")," ")</f>
        <v xml:space="preserve"> </v>
      </c>
      <c r="AQ28" s="67" t="str">
        <f ca="1">IFERROR(IF(ISNUMBER(AG28),INDEX('1.Locations'!K2:K32,AG28 + 1)," ")," ")</f>
        <v xml:space="preserve"> </v>
      </c>
      <c r="AR28" s="67" t="str">
        <f ca="1">IFERROR(IF(ISNUMBER(AG28),SUM(AP5:AP28) + SUM(AQ29:AQ36)," ")," ")</f>
        <v xml:space="preserve"> </v>
      </c>
      <c r="AT28" s="17">
        <v>23</v>
      </c>
      <c r="AU28" s="18"/>
      <c r="AV28" s="67" t="str">
        <f ca="1">IFERROR(MATCH(INDIRECT("AU28"),'1.Locations'!B2:B32, 0) - 1," ")</f>
        <v xml:space="preserve"> </v>
      </c>
      <c r="AW28" s="67" t="e">
        <f ca="1">IFERROR(IF(ISNUMBER(AV28),INDEX('1.Locations'!D2:D32,AV28 + 1),NA()),NA())</f>
        <v>#N/A</v>
      </c>
      <c r="AX28" s="67" t="e">
        <f ca="1">IFERROR(IF(ISNUMBER(AV28),INDEX('1.Locations'!E2:E32,AV28 + 1),NA()),NA())</f>
        <v>#N/A</v>
      </c>
      <c r="AY28" s="68" t="str">
        <f ca="1">IFERROR(IF(ISNUMBER(AV28),INDEX('2.Distances'!C2:C962,AV27*31+AV28+ 1) +AY27," ")," ")</f>
        <v xml:space="preserve"> </v>
      </c>
      <c r="AZ28" s="69" t="str">
        <f ca="1">IFERROR(IF(ISNUMBER(AV28),INDEX('2.Distances'!D2:D962,AV27*31+AV28 + 1) +AZ27," ")," ")</f>
        <v xml:space="preserve"> </v>
      </c>
      <c r="BA28" s="70" t="str">
        <f ca="1">IFERROR(IF(ISNUMBER(AV28),INDEX('2.Distances'!D2:D962,AV27*31+AV28 + 1) +BB27," ")," ")</f>
        <v xml:space="preserve"> </v>
      </c>
      <c r="BB28" s="70" t="str">
        <f ca="1">IFERROR(IF(AND(AV5&lt;&gt;AV28,ISNUMBER(BA28)),INDEX('1.Locations'!I2:I32,AV28 + 1) + MAX(BA28,INDEX('1.Locations'!F2:F32,AV28 + 1))," ")," ")</f>
        <v xml:space="preserve"> </v>
      </c>
      <c r="BC28" s="69" t="str">
        <f ca="1">IFERROR(IF(AV5 = AV28, BA28 - BB5, BB28 - BB5)," ")</f>
        <v xml:space="preserve"> </v>
      </c>
      <c r="BD28" s="67" t="str">
        <f ca="1">IFERROR(IF(ISNUMBER(AV28),INDEX('1.Locations'!L2:L32,AV28 + 1) + BD27," ")," ")</f>
        <v xml:space="preserve"> </v>
      </c>
      <c r="BE28" s="67" t="str">
        <f ca="1">IFERROR(IF(ISNUMBER(AV28),INDEX('1.Locations'!J2:J32,AV28 + 1)," ")," ")</f>
        <v xml:space="preserve"> </v>
      </c>
      <c r="BF28" s="67" t="str">
        <f ca="1">IFERROR(IF(ISNUMBER(AV28),INDEX('1.Locations'!K2:K32,AV28 + 1)," ")," ")</f>
        <v xml:space="preserve"> </v>
      </c>
      <c r="BG28" s="67" t="str">
        <f ca="1">IFERROR(IF(ISNUMBER(AV28),SUM(BE5:BE28) + SUM(BF29:BF36)," ")," ")</f>
        <v xml:space="preserve"> </v>
      </c>
      <c r="BI28" s="17">
        <v>23</v>
      </c>
      <c r="BJ28" s="18"/>
      <c r="BK28" s="67" t="str">
        <f ca="1">IFERROR(MATCH(INDIRECT("BJ28"),'1.Locations'!B2:B32, 0) - 1," ")</f>
        <v xml:space="preserve"> </v>
      </c>
      <c r="BL28" s="67" t="e">
        <f ca="1">IFERROR(IF(ISNUMBER(BK28),INDEX('1.Locations'!D2:D32,BK28 + 1),NA()),NA())</f>
        <v>#N/A</v>
      </c>
      <c r="BM28" s="67" t="e">
        <f ca="1">IFERROR(IF(ISNUMBER(BK28),INDEX('1.Locations'!E2:E32,BK28 + 1),NA()),NA())</f>
        <v>#N/A</v>
      </c>
      <c r="BN28" s="68" t="str">
        <f ca="1">IFERROR(IF(ISNUMBER(BK28),INDEX('2.Distances'!C2:C962,BK27*31+BK28+ 1) +BN27," ")," ")</f>
        <v xml:space="preserve"> </v>
      </c>
      <c r="BO28" s="69" t="str">
        <f ca="1">IFERROR(IF(ISNUMBER(BK28),INDEX('2.Distances'!D2:D962,BK27*31+BK28 + 1) +BO27," ")," ")</f>
        <v xml:space="preserve"> </v>
      </c>
      <c r="BP28" s="70" t="str">
        <f ca="1">IFERROR(IF(ISNUMBER(BK28),INDEX('2.Distances'!D2:D962,BK27*31+BK28 + 1) +BQ27," ")," ")</f>
        <v xml:space="preserve"> </v>
      </c>
      <c r="BQ28" s="70" t="str">
        <f ca="1">IFERROR(IF(AND(BK5&lt;&gt;BK28,ISNUMBER(BP28)),INDEX('1.Locations'!I2:I32,BK28 + 1) + MAX(BP28,INDEX('1.Locations'!F2:F32,BK28 + 1))," ")," ")</f>
        <v xml:space="preserve"> </v>
      </c>
      <c r="BR28" s="69" t="str">
        <f ca="1">IFERROR(IF(BK5 = BK28, BP28 - BQ5, BQ28 - BQ5)," ")</f>
        <v xml:space="preserve"> </v>
      </c>
      <c r="BS28" s="67" t="str">
        <f ca="1">IFERROR(IF(ISNUMBER(BK28),INDEX('1.Locations'!L2:L32,BK28 + 1) + BS27," ")," ")</f>
        <v xml:space="preserve"> </v>
      </c>
      <c r="BT28" s="67" t="str">
        <f ca="1">IFERROR(IF(ISNUMBER(BK28),INDEX('1.Locations'!J2:J32,BK28 + 1)," ")," ")</f>
        <v xml:space="preserve"> </v>
      </c>
      <c r="BU28" s="67" t="str">
        <f ca="1">IFERROR(IF(ISNUMBER(BK28),INDEX('1.Locations'!K2:K32,BK28 + 1)," ")," ")</f>
        <v xml:space="preserve"> </v>
      </c>
      <c r="BV28" s="67" t="str">
        <f ca="1">IFERROR(IF(ISNUMBER(BK28),SUM(BT5:BT28) + SUM(BU29:BU36)," ")," ")</f>
        <v xml:space="preserve"> </v>
      </c>
      <c r="BX28" s="17">
        <v>23</v>
      </c>
      <c r="BY28" s="18"/>
      <c r="BZ28" s="67" t="str">
        <f ca="1">IFERROR(MATCH(INDIRECT("BY28"),'1.Locations'!B2:B32, 0) - 1," ")</f>
        <v xml:space="preserve"> </v>
      </c>
      <c r="CA28" s="67" t="e">
        <f ca="1">IFERROR(IF(ISNUMBER(BZ28),INDEX('1.Locations'!D2:D32,BZ28 + 1),NA()),NA())</f>
        <v>#N/A</v>
      </c>
      <c r="CB28" s="67" t="e">
        <f ca="1">IFERROR(IF(ISNUMBER(BZ28),INDEX('1.Locations'!E2:E32,BZ28 + 1),NA()),NA())</f>
        <v>#N/A</v>
      </c>
      <c r="CC28" s="68" t="str">
        <f ca="1">IFERROR(IF(ISNUMBER(BZ28),INDEX('2.Distances'!C2:C962,BZ27*31+BZ28+ 1) +CC27," ")," ")</f>
        <v xml:space="preserve"> </v>
      </c>
      <c r="CD28" s="69" t="str">
        <f ca="1">IFERROR(IF(ISNUMBER(BZ28),INDEX('2.Distances'!D2:D962,BZ27*31+BZ28 + 1) +CD27," ")," ")</f>
        <v xml:space="preserve"> </v>
      </c>
      <c r="CE28" s="70" t="str">
        <f ca="1">IFERROR(IF(ISNUMBER(BZ28),INDEX('2.Distances'!D2:D962,BZ27*31+BZ28 + 1) +CF27," ")," ")</f>
        <v xml:space="preserve"> </v>
      </c>
      <c r="CF28" s="70" t="str">
        <f ca="1">IFERROR(IF(AND(BZ5&lt;&gt;BZ28,ISNUMBER(CE28)),INDEX('1.Locations'!I2:I32,BZ28 + 1) + MAX(CE28,INDEX('1.Locations'!F2:F32,BZ28 + 1))," ")," ")</f>
        <v xml:space="preserve"> </v>
      </c>
      <c r="CG28" s="69" t="str">
        <f ca="1">IFERROR(IF(BZ5 = BZ28, CE28 - CF5, CF28 - CF5)," ")</f>
        <v xml:space="preserve"> </v>
      </c>
      <c r="CH28" s="67" t="str">
        <f ca="1">IFERROR(IF(ISNUMBER(BZ28),INDEX('1.Locations'!L2:L32,BZ28 + 1) + CH27," ")," ")</f>
        <v xml:space="preserve"> </v>
      </c>
      <c r="CI28" s="67" t="str">
        <f ca="1">IFERROR(IF(ISNUMBER(BZ28),INDEX('1.Locations'!J2:J32,BZ28 + 1)," ")," ")</f>
        <v xml:space="preserve"> </v>
      </c>
      <c r="CJ28" s="67" t="str">
        <f ca="1">IFERROR(IF(ISNUMBER(BZ28),INDEX('1.Locations'!K2:K32,BZ28 + 1)," ")," ")</f>
        <v xml:space="preserve"> </v>
      </c>
      <c r="CK28" s="67" t="str">
        <f ca="1">IFERROR(IF(ISNUMBER(BZ28),SUM(CI5:CI28) + SUM(CJ29:CJ36)," ")," ")</f>
        <v xml:space="preserve"> </v>
      </c>
      <c r="CM28" s="17">
        <v>23</v>
      </c>
      <c r="CN28" s="18"/>
      <c r="CO28" s="67" t="str">
        <f ca="1">IFERROR(MATCH(INDIRECT("CN28"),'1.Locations'!B2:B32, 0) - 1," ")</f>
        <v xml:space="preserve"> </v>
      </c>
      <c r="CP28" s="67" t="e">
        <f ca="1">IFERROR(IF(ISNUMBER(CO28),INDEX('1.Locations'!D2:D32,CO28 + 1),NA()),NA())</f>
        <v>#N/A</v>
      </c>
      <c r="CQ28" s="67" t="e">
        <f ca="1">IFERROR(IF(ISNUMBER(CO28),INDEX('1.Locations'!E2:E32,CO28 + 1),NA()),NA())</f>
        <v>#N/A</v>
      </c>
      <c r="CR28" s="68" t="str">
        <f ca="1">IFERROR(IF(ISNUMBER(CO28),INDEX('2.Distances'!C2:C962,CO27*31+CO28+ 1) +CR27," ")," ")</f>
        <v xml:space="preserve"> </v>
      </c>
      <c r="CS28" s="69" t="str">
        <f ca="1">IFERROR(IF(ISNUMBER(CO28),INDEX('2.Distances'!D2:D962,CO27*31+CO28 + 1) +CS27," ")," ")</f>
        <v xml:space="preserve"> </v>
      </c>
      <c r="CT28" s="70" t="str">
        <f ca="1">IFERROR(IF(ISNUMBER(CO28),INDEX('2.Distances'!D2:D962,CO27*31+CO28 + 1) +CU27," ")," ")</f>
        <v xml:space="preserve"> </v>
      </c>
      <c r="CU28" s="70" t="str">
        <f ca="1">IFERROR(IF(AND(CO5&lt;&gt;CO28,ISNUMBER(CT28)),INDEX('1.Locations'!I2:I32,CO28 + 1) + MAX(CT28,INDEX('1.Locations'!F2:F32,CO28 + 1))," ")," ")</f>
        <v xml:space="preserve"> </v>
      </c>
      <c r="CV28" s="69" t="str">
        <f ca="1">IFERROR(IF(CO5 = CO28, CT28 - CU5, CU28 - CU5)," ")</f>
        <v xml:space="preserve"> </v>
      </c>
      <c r="CW28" s="67" t="str">
        <f ca="1">IFERROR(IF(ISNUMBER(CO28),INDEX('1.Locations'!L2:L32,CO28 + 1) + CW27," ")," ")</f>
        <v xml:space="preserve"> </v>
      </c>
      <c r="CX28" s="67" t="str">
        <f ca="1">IFERROR(IF(ISNUMBER(CO28),INDEX('1.Locations'!J2:J32,CO28 + 1)," ")," ")</f>
        <v xml:space="preserve"> </v>
      </c>
      <c r="CY28" s="67" t="str">
        <f ca="1">IFERROR(IF(ISNUMBER(CO28),INDEX('1.Locations'!K2:K32,CO28 + 1)," ")," ")</f>
        <v xml:space="preserve"> </v>
      </c>
      <c r="CZ28" s="67" t="str">
        <f ca="1">IFERROR(IF(ISNUMBER(CO28),SUM(CX5:CX28) + SUM(CY29:CY36)," ")," ")</f>
        <v xml:space="preserve"> </v>
      </c>
      <c r="DB28" s="17">
        <v>23</v>
      </c>
      <c r="DC28" s="18"/>
      <c r="DD28" s="67" t="str">
        <f ca="1">IFERROR(MATCH(INDIRECT("DC28"),'1.Locations'!B2:B32, 0) - 1," ")</f>
        <v xml:space="preserve"> </v>
      </c>
      <c r="DE28" s="67" t="e">
        <f ca="1">IFERROR(IF(ISNUMBER(DD28),INDEX('1.Locations'!D2:D32,DD28 + 1),NA()),NA())</f>
        <v>#N/A</v>
      </c>
      <c r="DF28" s="67" t="e">
        <f ca="1">IFERROR(IF(ISNUMBER(DD28),INDEX('1.Locations'!E2:E32,DD28 + 1),NA()),NA())</f>
        <v>#N/A</v>
      </c>
      <c r="DG28" s="68" t="str">
        <f ca="1">IFERROR(IF(ISNUMBER(DD28),INDEX('2.Distances'!C2:C962,DD27*31+DD28+ 1) +DG27," ")," ")</f>
        <v xml:space="preserve"> </v>
      </c>
      <c r="DH28" s="69" t="str">
        <f ca="1">IFERROR(IF(ISNUMBER(DD28),INDEX('2.Distances'!D2:D962,DD27*31+DD28 + 1) +DH27," ")," ")</f>
        <v xml:space="preserve"> </v>
      </c>
      <c r="DI28" s="70" t="str">
        <f ca="1">IFERROR(IF(ISNUMBER(DD28),INDEX('2.Distances'!D2:D962,DD27*31+DD28 + 1) +DJ27," ")," ")</f>
        <v xml:space="preserve"> </v>
      </c>
      <c r="DJ28" s="70" t="str">
        <f ca="1">IFERROR(IF(AND(DD5&lt;&gt;DD28,ISNUMBER(DI28)),INDEX('1.Locations'!I2:I32,DD28 + 1) + MAX(DI28,INDEX('1.Locations'!F2:F32,DD28 + 1))," ")," ")</f>
        <v xml:space="preserve"> </v>
      </c>
      <c r="DK28" s="69" t="str">
        <f ca="1">IFERROR(IF(DD5 = DD28, DI28 - DJ5, DJ28 - DJ5)," ")</f>
        <v xml:space="preserve"> </v>
      </c>
      <c r="DL28" s="67" t="str">
        <f ca="1">IFERROR(IF(ISNUMBER(DD28),INDEX('1.Locations'!L2:L32,DD28 + 1) + DL27," ")," ")</f>
        <v xml:space="preserve"> </v>
      </c>
      <c r="DM28" s="67" t="str">
        <f ca="1">IFERROR(IF(ISNUMBER(DD28),INDEX('1.Locations'!J2:J32,DD28 + 1)," ")," ")</f>
        <v xml:space="preserve"> </v>
      </c>
      <c r="DN28" s="67" t="str">
        <f ca="1">IFERROR(IF(ISNUMBER(DD28),INDEX('1.Locations'!K2:K32,DD28 + 1)," ")," ")</f>
        <v xml:space="preserve"> </v>
      </c>
      <c r="DO28" s="67" t="str">
        <f ca="1">IFERROR(IF(ISNUMBER(DD28),SUM(DM5:DM28) + SUM(DN29:DN36)," ")," ")</f>
        <v xml:space="preserve"> </v>
      </c>
      <c r="DQ28" s="17">
        <v>23</v>
      </c>
      <c r="DR28" s="18"/>
      <c r="DS28" s="67" t="str">
        <f ca="1">IFERROR(MATCH(INDIRECT("DR28"),'1.Locations'!B2:B32, 0) - 1," ")</f>
        <v xml:space="preserve"> </v>
      </c>
      <c r="DT28" s="67" t="e">
        <f ca="1">IFERROR(IF(ISNUMBER(DS28),INDEX('1.Locations'!D2:D32,DS28 + 1),NA()),NA())</f>
        <v>#N/A</v>
      </c>
      <c r="DU28" s="67" t="e">
        <f ca="1">IFERROR(IF(ISNUMBER(DS28),INDEX('1.Locations'!E2:E32,DS28 + 1),NA()),NA())</f>
        <v>#N/A</v>
      </c>
      <c r="DV28" s="68" t="str">
        <f ca="1">IFERROR(IF(ISNUMBER(DS28),INDEX('2.Distances'!C2:C962,DS27*31+DS28+ 1) +DV27," ")," ")</f>
        <v xml:space="preserve"> </v>
      </c>
      <c r="DW28" s="69" t="str">
        <f ca="1">IFERROR(IF(ISNUMBER(DS28),INDEX('2.Distances'!D2:D962,DS27*31+DS28 + 1) +DW27," ")," ")</f>
        <v xml:space="preserve"> </v>
      </c>
      <c r="DX28" s="70" t="str">
        <f ca="1">IFERROR(IF(ISNUMBER(DS28),INDEX('2.Distances'!D2:D962,DS27*31+DS28 + 1) +DY27," ")," ")</f>
        <v xml:space="preserve"> </v>
      </c>
      <c r="DY28" s="70" t="str">
        <f ca="1">IFERROR(IF(AND(DS5&lt;&gt;DS28,ISNUMBER(DX28)),INDEX('1.Locations'!I2:I32,DS28 + 1) + MAX(DX28,INDEX('1.Locations'!F2:F32,DS28 + 1))," ")," ")</f>
        <v xml:space="preserve"> </v>
      </c>
      <c r="DZ28" s="69" t="str">
        <f ca="1">IFERROR(IF(DS5 = DS28, DX28 - DY5, DY28 - DY5)," ")</f>
        <v xml:space="preserve"> </v>
      </c>
      <c r="EA28" s="67" t="str">
        <f ca="1">IFERROR(IF(ISNUMBER(DS28),INDEX('1.Locations'!L2:L32,DS28 + 1) + EA27," ")," ")</f>
        <v xml:space="preserve"> </v>
      </c>
      <c r="EB28" s="67" t="str">
        <f ca="1">IFERROR(IF(ISNUMBER(DS28),INDEX('1.Locations'!J2:J32,DS28 + 1)," ")," ")</f>
        <v xml:space="preserve"> </v>
      </c>
      <c r="EC28" s="67" t="str">
        <f ca="1">IFERROR(IF(ISNUMBER(DS28),INDEX('1.Locations'!K2:K32,DS28 + 1)," ")," ")</f>
        <v xml:space="preserve"> </v>
      </c>
      <c r="ED28" s="67" t="str">
        <f ca="1">IFERROR(IF(ISNUMBER(DS28),SUM(EB5:EB28) + SUM(EC29:EC36)," ")," ")</f>
        <v xml:space="preserve"> </v>
      </c>
      <c r="EF28" s="17">
        <v>23</v>
      </c>
      <c r="EG28" s="18"/>
      <c r="EH28" s="67" t="str">
        <f ca="1">IFERROR(MATCH(INDIRECT("EG28"),'1.Locations'!B2:B32, 0) - 1," ")</f>
        <v xml:space="preserve"> </v>
      </c>
      <c r="EI28" s="67" t="e">
        <f ca="1">IFERROR(IF(ISNUMBER(EH28),INDEX('1.Locations'!D2:D32,EH28 + 1),NA()),NA())</f>
        <v>#N/A</v>
      </c>
      <c r="EJ28" s="67" t="e">
        <f ca="1">IFERROR(IF(ISNUMBER(EH28),INDEX('1.Locations'!E2:E32,EH28 + 1),NA()),NA())</f>
        <v>#N/A</v>
      </c>
      <c r="EK28" s="68" t="str">
        <f ca="1">IFERROR(IF(ISNUMBER(EH28),INDEX('2.Distances'!C2:C962,EH27*31+EH28+ 1) +EK27," ")," ")</f>
        <v xml:space="preserve"> </v>
      </c>
      <c r="EL28" s="69" t="str">
        <f ca="1">IFERROR(IF(ISNUMBER(EH28),INDEX('2.Distances'!D2:D962,EH27*31+EH28 + 1) +EL27," ")," ")</f>
        <v xml:space="preserve"> </v>
      </c>
      <c r="EM28" s="70" t="str">
        <f ca="1">IFERROR(IF(ISNUMBER(EH28),INDEX('2.Distances'!D2:D962,EH27*31+EH28 + 1) +EN27," ")," ")</f>
        <v xml:space="preserve"> </v>
      </c>
      <c r="EN28" s="70" t="str">
        <f ca="1">IFERROR(IF(AND(EH5&lt;&gt;EH28,ISNUMBER(EM28)),INDEX('1.Locations'!I2:I32,EH28 + 1) + MAX(EM28,INDEX('1.Locations'!F2:F32,EH28 + 1))," ")," ")</f>
        <v xml:space="preserve"> </v>
      </c>
      <c r="EO28" s="69" t="str">
        <f ca="1">IFERROR(IF(EH5 = EH28, EM28 - EN5, EN28 - EN5)," ")</f>
        <v xml:space="preserve"> </v>
      </c>
      <c r="EP28" s="67" t="str">
        <f ca="1">IFERROR(IF(ISNUMBER(EH28),INDEX('1.Locations'!L2:L32,EH28 + 1) + EP27," ")," ")</f>
        <v xml:space="preserve"> </v>
      </c>
      <c r="EQ28" s="67" t="str">
        <f ca="1">IFERROR(IF(ISNUMBER(EH28),INDEX('1.Locations'!J2:J32,EH28 + 1)," ")," ")</f>
        <v xml:space="preserve"> </v>
      </c>
      <c r="ER28" s="67" t="str">
        <f ca="1">IFERROR(IF(ISNUMBER(EH28),INDEX('1.Locations'!K2:K32,EH28 + 1)," ")," ")</f>
        <v xml:space="preserve"> </v>
      </c>
      <c r="ES28" s="67" t="str">
        <f ca="1">IFERROR(IF(ISNUMBER(EH28),SUM(EQ5:EQ28) + SUM(ER29:ER36)," ")," ")</f>
        <v xml:space="preserve"> </v>
      </c>
    </row>
    <row r="29" spans="1:149" x14ac:dyDescent="0.25">
      <c r="A29" s="17">
        <v>24</v>
      </c>
      <c r="B29" s="21"/>
      <c r="C29" s="67" t="str">
        <f ca="1">IFERROR(MATCH(INDIRECT("B29"),'1.Locations'!B2:B32, 0) - 1," ")</f>
        <v xml:space="preserve"> </v>
      </c>
      <c r="D29" s="67" t="e">
        <f ca="1">IFERROR(IF(ISNUMBER(C29),INDEX('1.Locations'!D2:D32,C29 + 1),NA()),NA())</f>
        <v>#N/A</v>
      </c>
      <c r="E29" s="67" t="e">
        <f ca="1">IFERROR(IF(ISNUMBER(C29),INDEX('1.Locations'!E2:E32,C29 + 1),NA()),NA())</f>
        <v>#N/A</v>
      </c>
      <c r="F29" s="68" t="str">
        <f ca="1">IFERROR(IF(ISNUMBER(C29),INDEX('2.Distances'!C2:C962,C28*31+C29+ 1) +F28," ")," ")</f>
        <v xml:space="preserve"> </v>
      </c>
      <c r="G29" s="69" t="str">
        <f ca="1">IFERROR(IF(ISNUMBER(C29),INDEX('2.Distances'!D2:D962,C28*31+C29 + 1) +G28," ")," ")</f>
        <v xml:space="preserve"> </v>
      </c>
      <c r="H29" s="70" t="str">
        <f ca="1">IFERROR(IF(ISNUMBER(C29),INDEX('2.Distances'!D2:D962,C28*31+C29 + 1) +I28," ")," ")</f>
        <v xml:space="preserve"> </v>
      </c>
      <c r="I29" s="70" t="str">
        <f ca="1">IFERROR(IF(AND(C5&lt;&gt;C29,ISNUMBER(H29)),INDEX('1.Locations'!I2:I32,C29 + 1) + MAX(H29,INDEX('1.Locations'!F2:F32,C29 + 1))," ")," ")</f>
        <v xml:space="preserve"> </v>
      </c>
      <c r="J29" s="69" t="str">
        <f ca="1">IFERROR(IF(C5 = C29, H29 - I5, I29 - I5)," ")</f>
        <v xml:space="preserve"> </v>
      </c>
      <c r="K29" s="67" t="str">
        <f ca="1">IFERROR(IF(ISNUMBER(C29),INDEX('1.Locations'!L2:L32,C29 + 1) + K28," ")," ")</f>
        <v xml:space="preserve"> </v>
      </c>
      <c r="L29" s="67" t="str">
        <f ca="1">IFERROR(IF(ISNUMBER(C29),INDEX('1.Locations'!J2:J32,C29 + 1)," ")," ")</f>
        <v xml:space="preserve"> </v>
      </c>
      <c r="M29" s="67" t="str">
        <f ca="1">IFERROR(IF(ISNUMBER(C29),INDEX('1.Locations'!K2:K32,C29 + 1)," ")," ")</f>
        <v xml:space="preserve"> </v>
      </c>
      <c r="N29" s="67" t="str">
        <f ca="1">IFERROR(IF(ISNUMBER(C29),SUM(L5:L29) + SUM(M30:M36)," ")," ")</f>
        <v xml:space="preserve"> </v>
      </c>
      <c r="P29" s="17">
        <v>24</v>
      </c>
      <c r="Q29" s="21"/>
      <c r="R29" s="67" t="str">
        <f ca="1">IFERROR(MATCH(INDIRECT("Q29"),'1.Locations'!B2:B32, 0) - 1," ")</f>
        <v xml:space="preserve"> </v>
      </c>
      <c r="S29" s="67" t="e">
        <f ca="1">IFERROR(IF(ISNUMBER(R29),INDEX('1.Locations'!D2:D32,R29 + 1),NA()),NA())</f>
        <v>#N/A</v>
      </c>
      <c r="T29" s="67" t="e">
        <f ca="1">IFERROR(IF(ISNUMBER(R29),INDEX('1.Locations'!E2:E32,R29 + 1),NA()),NA())</f>
        <v>#N/A</v>
      </c>
      <c r="U29" s="68" t="str">
        <f ca="1">IFERROR(IF(ISNUMBER(R29),INDEX('2.Distances'!C2:C962,R28*31+R29+ 1) +U28," ")," ")</f>
        <v xml:space="preserve"> </v>
      </c>
      <c r="V29" s="69" t="str">
        <f ca="1">IFERROR(IF(ISNUMBER(R29),INDEX('2.Distances'!D2:D962,R28*31+R29 + 1) +V28," ")," ")</f>
        <v xml:space="preserve"> </v>
      </c>
      <c r="W29" s="70" t="str">
        <f ca="1">IFERROR(IF(ISNUMBER(R29),INDEX('2.Distances'!D2:D962,R28*31+R29 + 1) +X28," ")," ")</f>
        <v xml:space="preserve"> </v>
      </c>
      <c r="X29" s="70" t="str">
        <f ca="1">IFERROR(IF(AND(R5&lt;&gt;R29,ISNUMBER(W29)),INDEX('1.Locations'!I2:I32,R29 + 1) + MAX(W29,INDEX('1.Locations'!F2:F32,R29 + 1))," ")," ")</f>
        <v xml:space="preserve"> </v>
      </c>
      <c r="Y29" s="69" t="str">
        <f ca="1">IFERROR(IF(R5 = R29, W29 - X5, X29 - X5)," ")</f>
        <v xml:space="preserve"> </v>
      </c>
      <c r="Z29" s="67" t="str">
        <f ca="1">IFERROR(IF(ISNUMBER(R29),INDEX('1.Locations'!L2:L32,R29 + 1) + Z28," ")," ")</f>
        <v xml:space="preserve"> </v>
      </c>
      <c r="AA29" s="67" t="str">
        <f ca="1">IFERROR(IF(ISNUMBER(R29),INDEX('1.Locations'!J2:J32,R29 + 1)," ")," ")</f>
        <v xml:space="preserve"> </v>
      </c>
      <c r="AB29" s="67" t="str">
        <f ca="1">IFERROR(IF(ISNUMBER(R29),INDEX('1.Locations'!K2:K32,R29 + 1)," ")," ")</f>
        <v xml:space="preserve"> </v>
      </c>
      <c r="AC29" s="67" t="str">
        <f ca="1">IFERROR(IF(ISNUMBER(R29),SUM(AA5:AA29) + SUM(AB30:AB36)," ")," ")</f>
        <v xml:space="preserve"> </v>
      </c>
      <c r="AE29" s="17">
        <v>24</v>
      </c>
      <c r="AF29" s="21"/>
      <c r="AG29" s="67" t="str">
        <f ca="1">IFERROR(MATCH(INDIRECT("AF29"),'1.Locations'!B2:B32, 0) - 1," ")</f>
        <v xml:space="preserve"> </v>
      </c>
      <c r="AH29" s="67" t="e">
        <f ca="1">IFERROR(IF(ISNUMBER(AG29),INDEX('1.Locations'!D2:D32,AG29 + 1),NA()),NA())</f>
        <v>#N/A</v>
      </c>
      <c r="AI29" s="67" t="e">
        <f ca="1">IFERROR(IF(ISNUMBER(AG29),INDEX('1.Locations'!E2:E32,AG29 + 1),NA()),NA())</f>
        <v>#N/A</v>
      </c>
      <c r="AJ29" s="68" t="str">
        <f ca="1">IFERROR(IF(ISNUMBER(AG29),INDEX('2.Distances'!C2:C962,AG28*31+AG29+ 1) +AJ28," ")," ")</f>
        <v xml:space="preserve"> </v>
      </c>
      <c r="AK29" s="69" t="str">
        <f ca="1">IFERROR(IF(ISNUMBER(AG29),INDEX('2.Distances'!D2:D962,AG28*31+AG29 + 1) +AK28," ")," ")</f>
        <v xml:space="preserve"> </v>
      </c>
      <c r="AL29" s="70" t="str">
        <f ca="1">IFERROR(IF(ISNUMBER(AG29),INDEX('2.Distances'!D2:D962,AG28*31+AG29 + 1) +AM28," ")," ")</f>
        <v xml:space="preserve"> </v>
      </c>
      <c r="AM29" s="70" t="str">
        <f ca="1">IFERROR(IF(AND(AG5&lt;&gt;AG29,ISNUMBER(AL29)),INDEX('1.Locations'!I2:I32,AG29 + 1) + MAX(AL29,INDEX('1.Locations'!F2:F32,AG29 + 1))," ")," ")</f>
        <v xml:space="preserve"> </v>
      </c>
      <c r="AN29" s="69" t="str">
        <f ca="1">IFERROR(IF(AG5 = AG29, AL29 - AM5, AM29 - AM5)," ")</f>
        <v xml:space="preserve"> </v>
      </c>
      <c r="AO29" s="67" t="str">
        <f ca="1">IFERROR(IF(ISNUMBER(AG29),INDEX('1.Locations'!L2:L32,AG29 + 1) + AO28," ")," ")</f>
        <v xml:space="preserve"> </v>
      </c>
      <c r="AP29" s="67" t="str">
        <f ca="1">IFERROR(IF(ISNUMBER(AG29),INDEX('1.Locations'!J2:J32,AG29 + 1)," ")," ")</f>
        <v xml:space="preserve"> </v>
      </c>
      <c r="AQ29" s="67" t="str">
        <f ca="1">IFERROR(IF(ISNUMBER(AG29),INDEX('1.Locations'!K2:K32,AG29 + 1)," ")," ")</f>
        <v xml:space="preserve"> </v>
      </c>
      <c r="AR29" s="67" t="str">
        <f ca="1">IFERROR(IF(ISNUMBER(AG29),SUM(AP5:AP29) + SUM(AQ30:AQ36)," ")," ")</f>
        <v xml:space="preserve"> </v>
      </c>
      <c r="AT29" s="17">
        <v>24</v>
      </c>
      <c r="AU29" s="21"/>
      <c r="AV29" s="67" t="str">
        <f ca="1">IFERROR(MATCH(INDIRECT("AU29"),'1.Locations'!B2:B32, 0) - 1," ")</f>
        <v xml:space="preserve"> </v>
      </c>
      <c r="AW29" s="67" t="e">
        <f ca="1">IFERROR(IF(ISNUMBER(AV29),INDEX('1.Locations'!D2:D32,AV29 + 1),NA()),NA())</f>
        <v>#N/A</v>
      </c>
      <c r="AX29" s="67" t="e">
        <f ca="1">IFERROR(IF(ISNUMBER(AV29),INDEX('1.Locations'!E2:E32,AV29 + 1),NA()),NA())</f>
        <v>#N/A</v>
      </c>
      <c r="AY29" s="68" t="str">
        <f ca="1">IFERROR(IF(ISNUMBER(AV29),INDEX('2.Distances'!C2:C962,AV28*31+AV29+ 1) +AY28," ")," ")</f>
        <v xml:space="preserve"> </v>
      </c>
      <c r="AZ29" s="69" t="str">
        <f ca="1">IFERROR(IF(ISNUMBER(AV29),INDEX('2.Distances'!D2:D962,AV28*31+AV29 + 1) +AZ28," ")," ")</f>
        <v xml:space="preserve"> </v>
      </c>
      <c r="BA29" s="70" t="str">
        <f ca="1">IFERROR(IF(ISNUMBER(AV29),INDEX('2.Distances'!D2:D962,AV28*31+AV29 + 1) +BB28," ")," ")</f>
        <v xml:space="preserve"> </v>
      </c>
      <c r="BB29" s="70" t="str">
        <f ca="1">IFERROR(IF(AND(AV5&lt;&gt;AV29,ISNUMBER(BA29)),INDEX('1.Locations'!I2:I32,AV29 + 1) + MAX(BA29,INDEX('1.Locations'!F2:F32,AV29 + 1))," ")," ")</f>
        <v xml:space="preserve"> </v>
      </c>
      <c r="BC29" s="69" t="str">
        <f ca="1">IFERROR(IF(AV5 = AV29, BA29 - BB5, BB29 - BB5)," ")</f>
        <v xml:space="preserve"> </v>
      </c>
      <c r="BD29" s="67" t="str">
        <f ca="1">IFERROR(IF(ISNUMBER(AV29),INDEX('1.Locations'!L2:L32,AV29 + 1) + BD28," ")," ")</f>
        <v xml:space="preserve"> </v>
      </c>
      <c r="BE29" s="67" t="str">
        <f ca="1">IFERROR(IF(ISNUMBER(AV29),INDEX('1.Locations'!J2:J32,AV29 + 1)," ")," ")</f>
        <v xml:space="preserve"> </v>
      </c>
      <c r="BF29" s="67" t="str">
        <f ca="1">IFERROR(IF(ISNUMBER(AV29),INDEX('1.Locations'!K2:K32,AV29 + 1)," ")," ")</f>
        <v xml:space="preserve"> </v>
      </c>
      <c r="BG29" s="67" t="str">
        <f ca="1">IFERROR(IF(ISNUMBER(AV29),SUM(BE5:BE29) + SUM(BF30:BF36)," ")," ")</f>
        <v xml:space="preserve"> </v>
      </c>
      <c r="BI29" s="17">
        <v>24</v>
      </c>
      <c r="BJ29" s="21"/>
      <c r="BK29" s="67" t="str">
        <f ca="1">IFERROR(MATCH(INDIRECT("BJ29"),'1.Locations'!B2:B32, 0) - 1," ")</f>
        <v xml:space="preserve"> </v>
      </c>
      <c r="BL29" s="67" t="e">
        <f ca="1">IFERROR(IF(ISNUMBER(BK29),INDEX('1.Locations'!D2:D32,BK29 + 1),NA()),NA())</f>
        <v>#N/A</v>
      </c>
      <c r="BM29" s="67" t="e">
        <f ca="1">IFERROR(IF(ISNUMBER(BK29),INDEX('1.Locations'!E2:E32,BK29 + 1),NA()),NA())</f>
        <v>#N/A</v>
      </c>
      <c r="BN29" s="68" t="str">
        <f ca="1">IFERROR(IF(ISNUMBER(BK29),INDEX('2.Distances'!C2:C962,BK28*31+BK29+ 1) +BN28," ")," ")</f>
        <v xml:space="preserve"> </v>
      </c>
      <c r="BO29" s="69" t="str">
        <f ca="1">IFERROR(IF(ISNUMBER(BK29),INDEX('2.Distances'!D2:D962,BK28*31+BK29 + 1) +BO28," ")," ")</f>
        <v xml:space="preserve"> </v>
      </c>
      <c r="BP29" s="70" t="str">
        <f ca="1">IFERROR(IF(ISNUMBER(BK29),INDEX('2.Distances'!D2:D962,BK28*31+BK29 + 1) +BQ28," ")," ")</f>
        <v xml:space="preserve"> </v>
      </c>
      <c r="BQ29" s="70" t="str">
        <f ca="1">IFERROR(IF(AND(BK5&lt;&gt;BK29,ISNUMBER(BP29)),INDEX('1.Locations'!I2:I32,BK29 + 1) + MAX(BP29,INDEX('1.Locations'!F2:F32,BK29 + 1))," ")," ")</f>
        <v xml:space="preserve"> </v>
      </c>
      <c r="BR29" s="69" t="str">
        <f ca="1">IFERROR(IF(BK5 = BK29, BP29 - BQ5, BQ29 - BQ5)," ")</f>
        <v xml:space="preserve"> </v>
      </c>
      <c r="BS29" s="67" t="str">
        <f ca="1">IFERROR(IF(ISNUMBER(BK29),INDEX('1.Locations'!L2:L32,BK29 + 1) + BS28," ")," ")</f>
        <v xml:space="preserve"> </v>
      </c>
      <c r="BT29" s="67" t="str">
        <f ca="1">IFERROR(IF(ISNUMBER(BK29),INDEX('1.Locations'!J2:J32,BK29 + 1)," ")," ")</f>
        <v xml:space="preserve"> </v>
      </c>
      <c r="BU29" s="67" t="str">
        <f ca="1">IFERROR(IF(ISNUMBER(BK29),INDEX('1.Locations'!K2:K32,BK29 + 1)," ")," ")</f>
        <v xml:space="preserve"> </v>
      </c>
      <c r="BV29" s="67" t="str">
        <f ca="1">IFERROR(IF(ISNUMBER(BK29),SUM(BT5:BT29) + SUM(BU30:BU36)," ")," ")</f>
        <v xml:space="preserve"> </v>
      </c>
      <c r="BX29" s="17">
        <v>24</v>
      </c>
      <c r="BY29" s="21"/>
      <c r="BZ29" s="67" t="str">
        <f ca="1">IFERROR(MATCH(INDIRECT("BY29"),'1.Locations'!B2:B32, 0) - 1," ")</f>
        <v xml:space="preserve"> </v>
      </c>
      <c r="CA29" s="67" t="e">
        <f ca="1">IFERROR(IF(ISNUMBER(BZ29),INDEX('1.Locations'!D2:D32,BZ29 + 1),NA()),NA())</f>
        <v>#N/A</v>
      </c>
      <c r="CB29" s="67" t="e">
        <f ca="1">IFERROR(IF(ISNUMBER(BZ29),INDEX('1.Locations'!E2:E32,BZ29 + 1),NA()),NA())</f>
        <v>#N/A</v>
      </c>
      <c r="CC29" s="68" t="str">
        <f ca="1">IFERROR(IF(ISNUMBER(BZ29),INDEX('2.Distances'!C2:C962,BZ28*31+BZ29+ 1) +CC28," ")," ")</f>
        <v xml:space="preserve"> </v>
      </c>
      <c r="CD29" s="69" t="str">
        <f ca="1">IFERROR(IF(ISNUMBER(BZ29),INDEX('2.Distances'!D2:D962,BZ28*31+BZ29 + 1) +CD28," ")," ")</f>
        <v xml:space="preserve"> </v>
      </c>
      <c r="CE29" s="70" t="str">
        <f ca="1">IFERROR(IF(ISNUMBER(BZ29),INDEX('2.Distances'!D2:D962,BZ28*31+BZ29 + 1) +CF28," ")," ")</f>
        <v xml:space="preserve"> </v>
      </c>
      <c r="CF29" s="70" t="str">
        <f ca="1">IFERROR(IF(AND(BZ5&lt;&gt;BZ29,ISNUMBER(CE29)),INDEX('1.Locations'!I2:I32,BZ29 + 1) + MAX(CE29,INDEX('1.Locations'!F2:F32,BZ29 + 1))," ")," ")</f>
        <v xml:space="preserve"> </v>
      </c>
      <c r="CG29" s="69" t="str">
        <f ca="1">IFERROR(IF(BZ5 = BZ29, CE29 - CF5, CF29 - CF5)," ")</f>
        <v xml:space="preserve"> </v>
      </c>
      <c r="CH29" s="67" t="str">
        <f ca="1">IFERROR(IF(ISNUMBER(BZ29),INDEX('1.Locations'!L2:L32,BZ29 + 1) + CH28," ")," ")</f>
        <v xml:space="preserve"> </v>
      </c>
      <c r="CI29" s="67" t="str">
        <f ca="1">IFERROR(IF(ISNUMBER(BZ29),INDEX('1.Locations'!J2:J32,BZ29 + 1)," ")," ")</f>
        <v xml:space="preserve"> </v>
      </c>
      <c r="CJ29" s="67" t="str">
        <f ca="1">IFERROR(IF(ISNUMBER(BZ29),INDEX('1.Locations'!K2:K32,BZ29 + 1)," ")," ")</f>
        <v xml:space="preserve"> </v>
      </c>
      <c r="CK29" s="67" t="str">
        <f ca="1">IFERROR(IF(ISNUMBER(BZ29),SUM(CI5:CI29) + SUM(CJ30:CJ36)," ")," ")</f>
        <v xml:space="preserve"> </v>
      </c>
      <c r="CM29" s="17">
        <v>24</v>
      </c>
      <c r="CN29" s="21"/>
      <c r="CO29" s="67" t="str">
        <f ca="1">IFERROR(MATCH(INDIRECT("CN29"),'1.Locations'!B2:B32, 0) - 1," ")</f>
        <v xml:space="preserve"> </v>
      </c>
      <c r="CP29" s="67" t="e">
        <f ca="1">IFERROR(IF(ISNUMBER(CO29),INDEX('1.Locations'!D2:D32,CO29 + 1),NA()),NA())</f>
        <v>#N/A</v>
      </c>
      <c r="CQ29" s="67" t="e">
        <f ca="1">IFERROR(IF(ISNUMBER(CO29),INDEX('1.Locations'!E2:E32,CO29 + 1),NA()),NA())</f>
        <v>#N/A</v>
      </c>
      <c r="CR29" s="68" t="str">
        <f ca="1">IFERROR(IF(ISNUMBER(CO29),INDEX('2.Distances'!C2:C962,CO28*31+CO29+ 1) +CR28," ")," ")</f>
        <v xml:space="preserve"> </v>
      </c>
      <c r="CS29" s="69" t="str">
        <f ca="1">IFERROR(IF(ISNUMBER(CO29),INDEX('2.Distances'!D2:D962,CO28*31+CO29 + 1) +CS28," ")," ")</f>
        <v xml:space="preserve"> </v>
      </c>
      <c r="CT29" s="70" t="str">
        <f ca="1">IFERROR(IF(ISNUMBER(CO29),INDEX('2.Distances'!D2:D962,CO28*31+CO29 + 1) +CU28," ")," ")</f>
        <v xml:space="preserve"> </v>
      </c>
      <c r="CU29" s="70" t="str">
        <f ca="1">IFERROR(IF(AND(CO5&lt;&gt;CO29,ISNUMBER(CT29)),INDEX('1.Locations'!I2:I32,CO29 + 1) + MAX(CT29,INDEX('1.Locations'!F2:F32,CO29 + 1))," ")," ")</f>
        <v xml:space="preserve"> </v>
      </c>
      <c r="CV29" s="69" t="str">
        <f ca="1">IFERROR(IF(CO5 = CO29, CT29 - CU5, CU29 - CU5)," ")</f>
        <v xml:space="preserve"> </v>
      </c>
      <c r="CW29" s="67" t="str">
        <f ca="1">IFERROR(IF(ISNUMBER(CO29),INDEX('1.Locations'!L2:L32,CO29 + 1) + CW28," ")," ")</f>
        <v xml:space="preserve"> </v>
      </c>
      <c r="CX29" s="67" t="str">
        <f ca="1">IFERROR(IF(ISNUMBER(CO29),INDEX('1.Locations'!J2:J32,CO29 + 1)," ")," ")</f>
        <v xml:space="preserve"> </v>
      </c>
      <c r="CY29" s="67" t="str">
        <f ca="1">IFERROR(IF(ISNUMBER(CO29),INDEX('1.Locations'!K2:K32,CO29 + 1)," ")," ")</f>
        <v xml:space="preserve"> </v>
      </c>
      <c r="CZ29" s="67" t="str">
        <f ca="1">IFERROR(IF(ISNUMBER(CO29),SUM(CX5:CX29) + SUM(CY30:CY36)," ")," ")</f>
        <v xml:space="preserve"> </v>
      </c>
      <c r="DB29" s="17">
        <v>24</v>
      </c>
      <c r="DC29" s="21"/>
      <c r="DD29" s="67" t="str">
        <f ca="1">IFERROR(MATCH(INDIRECT("DC29"),'1.Locations'!B2:B32, 0) - 1," ")</f>
        <v xml:space="preserve"> </v>
      </c>
      <c r="DE29" s="67" t="e">
        <f ca="1">IFERROR(IF(ISNUMBER(DD29),INDEX('1.Locations'!D2:D32,DD29 + 1),NA()),NA())</f>
        <v>#N/A</v>
      </c>
      <c r="DF29" s="67" t="e">
        <f ca="1">IFERROR(IF(ISNUMBER(DD29),INDEX('1.Locations'!E2:E32,DD29 + 1),NA()),NA())</f>
        <v>#N/A</v>
      </c>
      <c r="DG29" s="68" t="str">
        <f ca="1">IFERROR(IF(ISNUMBER(DD29),INDEX('2.Distances'!C2:C962,DD28*31+DD29+ 1) +DG28," ")," ")</f>
        <v xml:space="preserve"> </v>
      </c>
      <c r="DH29" s="69" t="str">
        <f ca="1">IFERROR(IF(ISNUMBER(DD29),INDEX('2.Distances'!D2:D962,DD28*31+DD29 + 1) +DH28," ")," ")</f>
        <v xml:space="preserve"> </v>
      </c>
      <c r="DI29" s="70" t="str">
        <f ca="1">IFERROR(IF(ISNUMBER(DD29),INDEX('2.Distances'!D2:D962,DD28*31+DD29 + 1) +DJ28," ")," ")</f>
        <v xml:space="preserve"> </v>
      </c>
      <c r="DJ29" s="70" t="str">
        <f ca="1">IFERROR(IF(AND(DD5&lt;&gt;DD29,ISNUMBER(DI29)),INDEX('1.Locations'!I2:I32,DD29 + 1) + MAX(DI29,INDEX('1.Locations'!F2:F32,DD29 + 1))," ")," ")</f>
        <v xml:space="preserve"> </v>
      </c>
      <c r="DK29" s="69" t="str">
        <f ca="1">IFERROR(IF(DD5 = DD29, DI29 - DJ5, DJ29 - DJ5)," ")</f>
        <v xml:space="preserve"> </v>
      </c>
      <c r="DL29" s="67" t="str">
        <f ca="1">IFERROR(IF(ISNUMBER(DD29),INDEX('1.Locations'!L2:L32,DD29 + 1) + DL28," ")," ")</f>
        <v xml:space="preserve"> </v>
      </c>
      <c r="DM29" s="67" t="str">
        <f ca="1">IFERROR(IF(ISNUMBER(DD29),INDEX('1.Locations'!J2:J32,DD29 + 1)," ")," ")</f>
        <v xml:space="preserve"> </v>
      </c>
      <c r="DN29" s="67" t="str">
        <f ca="1">IFERROR(IF(ISNUMBER(DD29),INDEX('1.Locations'!K2:K32,DD29 + 1)," ")," ")</f>
        <v xml:space="preserve"> </v>
      </c>
      <c r="DO29" s="67" t="str">
        <f ca="1">IFERROR(IF(ISNUMBER(DD29),SUM(DM5:DM29) + SUM(DN30:DN36)," ")," ")</f>
        <v xml:space="preserve"> </v>
      </c>
      <c r="DQ29" s="17">
        <v>24</v>
      </c>
      <c r="DR29" s="21"/>
      <c r="DS29" s="67" t="str">
        <f ca="1">IFERROR(MATCH(INDIRECT("DR29"),'1.Locations'!B2:B32, 0) - 1," ")</f>
        <v xml:space="preserve"> </v>
      </c>
      <c r="DT29" s="67" t="e">
        <f ca="1">IFERROR(IF(ISNUMBER(DS29),INDEX('1.Locations'!D2:D32,DS29 + 1),NA()),NA())</f>
        <v>#N/A</v>
      </c>
      <c r="DU29" s="67" t="e">
        <f ca="1">IFERROR(IF(ISNUMBER(DS29),INDEX('1.Locations'!E2:E32,DS29 + 1),NA()),NA())</f>
        <v>#N/A</v>
      </c>
      <c r="DV29" s="68" t="str">
        <f ca="1">IFERROR(IF(ISNUMBER(DS29),INDEX('2.Distances'!C2:C962,DS28*31+DS29+ 1) +DV28," ")," ")</f>
        <v xml:space="preserve"> </v>
      </c>
      <c r="DW29" s="69" t="str">
        <f ca="1">IFERROR(IF(ISNUMBER(DS29),INDEX('2.Distances'!D2:D962,DS28*31+DS29 + 1) +DW28," ")," ")</f>
        <v xml:space="preserve"> </v>
      </c>
      <c r="DX29" s="70" t="str">
        <f ca="1">IFERROR(IF(ISNUMBER(DS29),INDEX('2.Distances'!D2:D962,DS28*31+DS29 + 1) +DY28," ")," ")</f>
        <v xml:space="preserve"> </v>
      </c>
      <c r="DY29" s="70" t="str">
        <f ca="1">IFERROR(IF(AND(DS5&lt;&gt;DS29,ISNUMBER(DX29)),INDEX('1.Locations'!I2:I32,DS29 + 1) + MAX(DX29,INDEX('1.Locations'!F2:F32,DS29 + 1))," ")," ")</f>
        <v xml:space="preserve"> </v>
      </c>
      <c r="DZ29" s="69" t="str">
        <f ca="1">IFERROR(IF(DS5 = DS29, DX29 - DY5, DY29 - DY5)," ")</f>
        <v xml:space="preserve"> </v>
      </c>
      <c r="EA29" s="67" t="str">
        <f ca="1">IFERROR(IF(ISNUMBER(DS29),INDEX('1.Locations'!L2:L32,DS29 + 1) + EA28," ")," ")</f>
        <v xml:space="preserve"> </v>
      </c>
      <c r="EB29" s="67" t="str">
        <f ca="1">IFERROR(IF(ISNUMBER(DS29),INDEX('1.Locations'!J2:J32,DS29 + 1)," ")," ")</f>
        <v xml:space="preserve"> </v>
      </c>
      <c r="EC29" s="67" t="str">
        <f ca="1">IFERROR(IF(ISNUMBER(DS29),INDEX('1.Locations'!K2:K32,DS29 + 1)," ")," ")</f>
        <v xml:space="preserve"> </v>
      </c>
      <c r="ED29" s="67" t="str">
        <f ca="1">IFERROR(IF(ISNUMBER(DS29),SUM(EB5:EB29) + SUM(EC30:EC36)," ")," ")</f>
        <v xml:space="preserve"> </v>
      </c>
      <c r="EF29" s="17">
        <v>24</v>
      </c>
      <c r="EG29" s="21"/>
      <c r="EH29" s="67" t="str">
        <f ca="1">IFERROR(MATCH(INDIRECT("EG29"),'1.Locations'!B2:B32, 0) - 1," ")</f>
        <v xml:space="preserve"> </v>
      </c>
      <c r="EI29" s="67" t="e">
        <f ca="1">IFERROR(IF(ISNUMBER(EH29),INDEX('1.Locations'!D2:D32,EH29 + 1),NA()),NA())</f>
        <v>#N/A</v>
      </c>
      <c r="EJ29" s="67" t="e">
        <f ca="1">IFERROR(IF(ISNUMBER(EH29),INDEX('1.Locations'!E2:E32,EH29 + 1),NA()),NA())</f>
        <v>#N/A</v>
      </c>
      <c r="EK29" s="68" t="str">
        <f ca="1">IFERROR(IF(ISNUMBER(EH29),INDEX('2.Distances'!C2:C962,EH28*31+EH29+ 1) +EK28," ")," ")</f>
        <v xml:space="preserve"> </v>
      </c>
      <c r="EL29" s="69" t="str">
        <f ca="1">IFERROR(IF(ISNUMBER(EH29),INDEX('2.Distances'!D2:D962,EH28*31+EH29 + 1) +EL28," ")," ")</f>
        <v xml:space="preserve"> </v>
      </c>
      <c r="EM29" s="70" t="str">
        <f ca="1">IFERROR(IF(ISNUMBER(EH29),INDEX('2.Distances'!D2:D962,EH28*31+EH29 + 1) +EN28," ")," ")</f>
        <v xml:space="preserve"> </v>
      </c>
      <c r="EN29" s="70" t="str">
        <f ca="1">IFERROR(IF(AND(EH5&lt;&gt;EH29,ISNUMBER(EM29)),INDEX('1.Locations'!I2:I32,EH29 + 1) + MAX(EM29,INDEX('1.Locations'!F2:F32,EH29 + 1))," ")," ")</f>
        <v xml:space="preserve"> </v>
      </c>
      <c r="EO29" s="69" t="str">
        <f ca="1">IFERROR(IF(EH5 = EH29, EM29 - EN5, EN29 - EN5)," ")</f>
        <v xml:space="preserve"> </v>
      </c>
      <c r="EP29" s="67" t="str">
        <f ca="1">IFERROR(IF(ISNUMBER(EH29),INDEX('1.Locations'!L2:L32,EH29 + 1) + EP28," ")," ")</f>
        <v xml:space="preserve"> </v>
      </c>
      <c r="EQ29" s="67" t="str">
        <f ca="1">IFERROR(IF(ISNUMBER(EH29),INDEX('1.Locations'!J2:J32,EH29 + 1)," ")," ")</f>
        <v xml:space="preserve"> </v>
      </c>
      <c r="ER29" s="67" t="str">
        <f ca="1">IFERROR(IF(ISNUMBER(EH29),INDEX('1.Locations'!K2:K32,EH29 + 1)," ")," ")</f>
        <v xml:space="preserve"> </v>
      </c>
      <c r="ES29" s="67" t="str">
        <f ca="1">IFERROR(IF(ISNUMBER(EH29),SUM(EQ5:EQ29) + SUM(ER30:ER36)," ")," ")</f>
        <v xml:space="preserve"> </v>
      </c>
    </row>
    <row r="30" spans="1:149" x14ac:dyDescent="0.25">
      <c r="A30" s="17">
        <v>25</v>
      </c>
      <c r="B30" s="18"/>
      <c r="C30" s="67" t="str">
        <f ca="1">IFERROR(MATCH(INDIRECT("B30"),'1.Locations'!B2:B32, 0) - 1," ")</f>
        <v xml:space="preserve"> </v>
      </c>
      <c r="D30" s="67" t="e">
        <f ca="1">IFERROR(IF(ISNUMBER(C30),INDEX('1.Locations'!D2:D32,C30 + 1),NA()),NA())</f>
        <v>#N/A</v>
      </c>
      <c r="E30" s="67" t="e">
        <f ca="1">IFERROR(IF(ISNUMBER(C30),INDEX('1.Locations'!E2:E32,C30 + 1),NA()),NA())</f>
        <v>#N/A</v>
      </c>
      <c r="F30" s="68" t="str">
        <f ca="1">IFERROR(IF(ISNUMBER(C30),INDEX('2.Distances'!C2:C962,C29*31+C30+ 1) +F29," ")," ")</f>
        <v xml:space="preserve"> </v>
      </c>
      <c r="G30" s="69" t="str">
        <f ca="1">IFERROR(IF(ISNUMBER(C30),INDEX('2.Distances'!D2:D962,C29*31+C30 + 1) +G29," ")," ")</f>
        <v xml:space="preserve"> </v>
      </c>
      <c r="H30" s="70" t="str">
        <f ca="1">IFERROR(IF(ISNUMBER(C30),INDEX('2.Distances'!D2:D962,C29*31+C30 + 1) +I29," ")," ")</f>
        <v xml:space="preserve"> </v>
      </c>
      <c r="I30" s="70" t="str">
        <f ca="1">IFERROR(IF(AND(C5&lt;&gt;C30,ISNUMBER(H30)),INDEX('1.Locations'!I2:I32,C30 + 1) + MAX(H30,INDEX('1.Locations'!F2:F32,C30 + 1))," ")," ")</f>
        <v xml:space="preserve"> </v>
      </c>
      <c r="J30" s="69" t="str">
        <f ca="1">IFERROR(IF(C5 = C30, H30 - I5, I30 - I5)," ")</f>
        <v xml:space="preserve"> </v>
      </c>
      <c r="K30" s="67" t="str">
        <f ca="1">IFERROR(IF(ISNUMBER(C30),INDEX('1.Locations'!L2:L32,C30 + 1) + K29," ")," ")</f>
        <v xml:space="preserve"> </v>
      </c>
      <c r="L30" s="67" t="str">
        <f ca="1">IFERROR(IF(ISNUMBER(C30),INDEX('1.Locations'!J2:J32,C30 + 1)," ")," ")</f>
        <v xml:space="preserve"> </v>
      </c>
      <c r="M30" s="67" t="str">
        <f ca="1">IFERROR(IF(ISNUMBER(C30),INDEX('1.Locations'!K2:K32,C30 + 1)," ")," ")</f>
        <v xml:space="preserve"> </v>
      </c>
      <c r="N30" s="67" t="str">
        <f ca="1">IFERROR(IF(ISNUMBER(C30),SUM(L5:L30) + SUM(M31:M36)," ")," ")</f>
        <v xml:space="preserve"> </v>
      </c>
      <c r="P30" s="17">
        <v>25</v>
      </c>
      <c r="Q30" s="18"/>
      <c r="R30" s="67" t="str">
        <f ca="1">IFERROR(MATCH(INDIRECT("Q30"),'1.Locations'!B2:B32, 0) - 1," ")</f>
        <v xml:space="preserve"> </v>
      </c>
      <c r="S30" s="67" t="e">
        <f ca="1">IFERROR(IF(ISNUMBER(R30),INDEX('1.Locations'!D2:D32,R30 + 1),NA()),NA())</f>
        <v>#N/A</v>
      </c>
      <c r="T30" s="67" t="e">
        <f ca="1">IFERROR(IF(ISNUMBER(R30),INDEX('1.Locations'!E2:E32,R30 + 1),NA()),NA())</f>
        <v>#N/A</v>
      </c>
      <c r="U30" s="68" t="str">
        <f ca="1">IFERROR(IF(ISNUMBER(R30),INDEX('2.Distances'!C2:C962,R29*31+R30+ 1) +U29," ")," ")</f>
        <v xml:space="preserve"> </v>
      </c>
      <c r="V30" s="69" t="str">
        <f ca="1">IFERROR(IF(ISNUMBER(R30),INDEX('2.Distances'!D2:D962,R29*31+R30 + 1) +V29," ")," ")</f>
        <v xml:space="preserve"> </v>
      </c>
      <c r="W30" s="70" t="str">
        <f ca="1">IFERROR(IF(ISNUMBER(R30),INDEX('2.Distances'!D2:D962,R29*31+R30 + 1) +X29," ")," ")</f>
        <v xml:space="preserve"> </v>
      </c>
      <c r="X30" s="70" t="str">
        <f ca="1">IFERROR(IF(AND(R5&lt;&gt;R30,ISNUMBER(W30)),INDEX('1.Locations'!I2:I32,R30 + 1) + MAX(W30,INDEX('1.Locations'!F2:F32,R30 + 1))," ")," ")</f>
        <v xml:space="preserve"> </v>
      </c>
      <c r="Y30" s="69" t="str">
        <f ca="1">IFERROR(IF(R5 = R30, W30 - X5, X30 - X5)," ")</f>
        <v xml:space="preserve"> </v>
      </c>
      <c r="Z30" s="67" t="str">
        <f ca="1">IFERROR(IF(ISNUMBER(R30),INDEX('1.Locations'!L2:L32,R30 + 1) + Z29," ")," ")</f>
        <v xml:space="preserve"> </v>
      </c>
      <c r="AA30" s="67" t="str">
        <f ca="1">IFERROR(IF(ISNUMBER(R30),INDEX('1.Locations'!J2:J32,R30 + 1)," ")," ")</f>
        <v xml:space="preserve"> </v>
      </c>
      <c r="AB30" s="67" t="str">
        <f ca="1">IFERROR(IF(ISNUMBER(R30),INDEX('1.Locations'!K2:K32,R30 + 1)," ")," ")</f>
        <v xml:space="preserve"> </v>
      </c>
      <c r="AC30" s="67" t="str">
        <f ca="1">IFERROR(IF(ISNUMBER(R30),SUM(AA5:AA30) + SUM(AB31:AB36)," ")," ")</f>
        <v xml:space="preserve"> </v>
      </c>
      <c r="AE30" s="17">
        <v>25</v>
      </c>
      <c r="AF30" s="18"/>
      <c r="AG30" s="67" t="str">
        <f ca="1">IFERROR(MATCH(INDIRECT("AF30"),'1.Locations'!B2:B32, 0) - 1," ")</f>
        <v xml:space="preserve"> </v>
      </c>
      <c r="AH30" s="67" t="e">
        <f ca="1">IFERROR(IF(ISNUMBER(AG30),INDEX('1.Locations'!D2:D32,AG30 + 1),NA()),NA())</f>
        <v>#N/A</v>
      </c>
      <c r="AI30" s="67" t="e">
        <f ca="1">IFERROR(IF(ISNUMBER(AG30),INDEX('1.Locations'!E2:E32,AG30 + 1),NA()),NA())</f>
        <v>#N/A</v>
      </c>
      <c r="AJ30" s="68" t="str">
        <f ca="1">IFERROR(IF(ISNUMBER(AG30),INDEX('2.Distances'!C2:C962,AG29*31+AG30+ 1) +AJ29," ")," ")</f>
        <v xml:space="preserve"> </v>
      </c>
      <c r="AK30" s="69" t="str">
        <f ca="1">IFERROR(IF(ISNUMBER(AG30),INDEX('2.Distances'!D2:D962,AG29*31+AG30 + 1) +AK29," ")," ")</f>
        <v xml:space="preserve"> </v>
      </c>
      <c r="AL30" s="70" t="str">
        <f ca="1">IFERROR(IF(ISNUMBER(AG30),INDEX('2.Distances'!D2:D962,AG29*31+AG30 + 1) +AM29," ")," ")</f>
        <v xml:space="preserve"> </v>
      </c>
      <c r="AM30" s="70" t="str">
        <f ca="1">IFERROR(IF(AND(AG5&lt;&gt;AG30,ISNUMBER(AL30)),INDEX('1.Locations'!I2:I32,AG30 + 1) + MAX(AL30,INDEX('1.Locations'!F2:F32,AG30 + 1))," ")," ")</f>
        <v xml:space="preserve"> </v>
      </c>
      <c r="AN30" s="69" t="str">
        <f ca="1">IFERROR(IF(AG5 = AG30, AL30 - AM5, AM30 - AM5)," ")</f>
        <v xml:space="preserve"> </v>
      </c>
      <c r="AO30" s="67" t="str">
        <f ca="1">IFERROR(IF(ISNUMBER(AG30),INDEX('1.Locations'!L2:L32,AG30 + 1) + AO29," ")," ")</f>
        <v xml:space="preserve"> </v>
      </c>
      <c r="AP30" s="67" t="str">
        <f ca="1">IFERROR(IF(ISNUMBER(AG30),INDEX('1.Locations'!J2:J32,AG30 + 1)," ")," ")</f>
        <v xml:space="preserve"> </v>
      </c>
      <c r="AQ30" s="67" t="str">
        <f ca="1">IFERROR(IF(ISNUMBER(AG30),INDEX('1.Locations'!K2:K32,AG30 + 1)," ")," ")</f>
        <v xml:space="preserve"> </v>
      </c>
      <c r="AR30" s="67" t="str">
        <f ca="1">IFERROR(IF(ISNUMBER(AG30),SUM(AP5:AP30) + SUM(AQ31:AQ36)," ")," ")</f>
        <v xml:space="preserve"> </v>
      </c>
      <c r="AT30" s="17">
        <v>25</v>
      </c>
      <c r="AU30" s="18"/>
      <c r="AV30" s="67" t="str">
        <f ca="1">IFERROR(MATCH(INDIRECT("AU30"),'1.Locations'!B2:B32, 0) - 1," ")</f>
        <v xml:space="preserve"> </v>
      </c>
      <c r="AW30" s="67" t="e">
        <f ca="1">IFERROR(IF(ISNUMBER(AV30),INDEX('1.Locations'!D2:D32,AV30 + 1),NA()),NA())</f>
        <v>#N/A</v>
      </c>
      <c r="AX30" s="67" t="e">
        <f ca="1">IFERROR(IF(ISNUMBER(AV30),INDEX('1.Locations'!E2:E32,AV30 + 1),NA()),NA())</f>
        <v>#N/A</v>
      </c>
      <c r="AY30" s="68" t="str">
        <f ca="1">IFERROR(IF(ISNUMBER(AV30),INDEX('2.Distances'!C2:C962,AV29*31+AV30+ 1) +AY29," ")," ")</f>
        <v xml:space="preserve"> </v>
      </c>
      <c r="AZ30" s="69" t="str">
        <f ca="1">IFERROR(IF(ISNUMBER(AV30),INDEX('2.Distances'!D2:D962,AV29*31+AV30 + 1) +AZ29," ")," ")</f>
        <v xml:space="preserve"> </v>
      </c>
      <c r="BA30" s="70" t="str">
        <f ca="1">IFERROR(IF(ISNUMBER(AV30),INDEX('2.Distances'!D2:D962,AV29*31+AV30 + 1) +BB29," ")," ")</f>
        <v xml:space="preserve"> </v>
      </c>
      <c r="BB30" s="70" t="str">
        <f ca="1">IFERROR(IF(AND(AV5&lt;&gt;AV30,ISNUMBER(BA30)),INDEX('1.Locations'!I2:I32,AV30 + 1) + MAX(BA30,INDEX('1.Locations'!F2:F32,AV30 + 1))," ")," ")</f>
        <v xml:space="preserve"> </v>
      </c>
      <c r="BC30" s="69" t="str">
        <f ca="1">IFERROR(IF(AV5 = AV30, BA30 - BB5, BB30 - BB5)," ")</f>
        <v xml:space="preserve"> </v>
      </c>
      <c r="BD30" s="67" t="str">
        <f ca="1">IFERROR(IF(ISNUMBER(AV30),INDEX('1.Locations'!L2:L32,AV30 + 1) + BD29," ")," ")</f>
        <v xml:space="preserve"> </v>
      </c>
      <c r="BE30" s="67" t="str">
        <f ca="1">IFERROR(IF(ISNUMBER(AV30),INDEX('1.Locations'!J2:J32,AV30 + 1)," ")," ")</f>
        <v xml:space="preserve"> </v>
      </c>
      <c r="BF30" s="67" t="str">
        <f ca="1">IFERROR(IF(ISNUMBER(AV30),INDEX('1.Locations'!K2:K32,AV30 + 1)," ")," ")</f>
        <v xml:space="preserve"> </v>
      </c>
      <c r="BG30" s="67" t="str">
        <f ca="1">IFERROR(IF(ISNUMBER(AV30),SUM(BE5:BE30) + SUM(BF31:BF36)," ")," ")</f>
        <v xml:space="preserve"> </v>
      </c>
      <c r="BI30" s="17">
        <v>25</v>
      </c>
      <c r="BJ30" s="18"/>
      <c r="BK30" s="67" t="str">
        <f ca="1">IFERROR(MATCH(INDIRECT("BJ30"),'1.Locations'!B2:B32, 0) - 1," ")</f>
        <v xml:space="preserve"> </v>
      </c>
      <c r="BL30" s="67" t="e">
        <f ca="1">IFERROR(IF(ISNUMBER(BK30),INDEX('1.Locations'!D2:D32,BK30 + 1),NA()),NA())</f>
        <v>#N/A</v>
      </c>
      <c r="BM30" s="67" t="e">
        <f ca="1">IFERROR(IF(ISNUMBER(BK30),INDEX('1.Locations'!E2:E32,BK30 + 1),NA()),NA())</f>
        <v>#N/A</v>
      </c>
      <c r="BN30" s="68" t="str">
        <f ca="1">IFERROR(IF(ISNUMBER(BK30),INDEX('2.Distances'!C2:C962,BK29*31+BK30+ 1) +BN29," ")," ")</f>
        <v xml:space="preserve"> </v>
      </c>
      <c r="BO30" s="69" t="str">
        <f ca="1">IFERROR(IF(ISNUMBER(BK30),INDEX('2.Distances'!D2:D962,BK29*31+BK30 + 1) +BO29," ")," ")</f>
        <v xml:space="preserve"> </v>
      </c>
      <c r="BP30" s="70" t="str">
        <f ca="1">IFERROR(IF(ISNUMBER(BK30),INDEX('2.Distances'!D2:D962,BK29*31+BK30 + 1) +BQ29," ")," ")</f>
        <v xml:space="preserve"> </v>
      </c>
      <c r="BQ30" s="70" t="str">
        <f ca="1">IFERROR(IF(AND(BK5&lt;&gt;BK30,ISNUMBER(BP30)),INDEX('1.Locations'!I2:I32,BK30 + 1) + MAX(BP30,INDEX('1.Locations'!F2:F32,BK30 + 1))," ")," ")</f>
        <v xml:space="preserve"> </v>
      </c>
      <c r="BR30" s="69" t="str">
        <f ca="1">IFERROR(IF(BK5 = BK30, BP30 - BQ5, BQ30 - BQ5)," ")</f>
        <v xml:space="preserve"> </v>
      </c>
      <c r="BS30" s="67" t="str">
        <f ca="1">IFERROR(IF(ISNUMBER(BK30),INDEX('1.Locations'!L2:L32,BK30 + 1) + BS29," ")," ")</f>
        <v xml:space="preserve"> </v>
      </c>
      <c r="BT30" s="67" t="str">
        <f ca="1">IFERROR(IF(ISNUMBER(BK30),INDEX('1.Locations'!J2:J32,BK30 + 1)," ")," ")</f>
        <v xml:space="preserve"> </v>
      </c>
      <c r="BU30" s="67" t="str">
        <f ca="1">IFERROR(IF(ISNUMBER(BK30),INDEX('1.Locations'!K2:K32,BK30 + 1)," ")," ")</f>
        <v xml:space="preserve"> </v>
      </c>
      <c r="BV30" s="67" t="str">
        <f ca="1">IFERROR(IF(ISNUMBER(BK30),SUM(BT5:BT30) + SUM(BU31:BU36)," ")," ")</f>
        <v xml:space="preserve"> </v>
      </c>
      <c r="BX30" s="17">
        <v>25</v>
      </c>
      <c r="BY30" s="18"/>
      <c r="BZ30" s="67" t="str">
        <f ca="1">IFERROR(MATCH(INDIRECT("BY30"),'1.Locations'!B2:B32, 0) - 1," ")</f>
        <v xml:space="preserve"> </v>
      </c>
      <c r="CA30" s="67" t="e">
        <f ca="1">IFERROR(IF(ISNUMBER(BZ30),INDEX('1.Locations'!D2:D32,BZ30 + 1),NA()),NA())</f>
        <v>#N/A</v>
      </c>
      <c r="CB30" s="67" t="e">
        <f ca="1">IFERROR(IF(ISNUMBER(BZ30),INDEX('1.Locations'!E2:E32,BZ30 + 1),NA()),NA())</f>
        <v>#N/A</v>
      </c>
      <c r="CC30" s="68" t="str">
        <f ca="1">IFERROR(IF(ISNUMBER(BZ30),INDEX('2.Distances'!C2:C962,BZ29*31+BZ30+ 1) +CC29," ")," ")</f>
        <v xml:space="preserve"> </v>
      </c>
      <c r="CD30" s="69" t="str">
        <f ca="1">IFERROR(IF(ISNUMBER(BZ30),INDEX('2.Distances'!D2:D962,BZ29*31+BZ30 + 1) +CD29," ")," ")</f>
        <v xml:space="preserve"> </v>
      </c>
      <c r="CE30" s="70" t="str">
        <f ca="1">IFERROR(IF(ISNUMBER(BZ30),INDEX('2.Distances'!D2:D962,BZ29*31+BZ30 + 1) +CF29," ")," ")</f>
        <v xml:space="preserve"> </v>
      </c>
      <c r="CF30" s="70" t="str">
        <f ca="1">IFERROR(IF(AND(BZ5&lt;&gt;BZ30,ISNUMBER(CE30)),INDEX('1.Locations'!I2:I32,BZ30 + 1) + MAX(CE30,INDEX('1.Locations'!F2:F32,BZ30 + 1))," ")," ")</f>
        <v xml:space="preserve"> </v>
      </c>
      <c r="CG30" s="69" t="str">
        <f ca="1">IFERROR(IF(BZ5 = BZ30, CE30 - CF5, CF30 - CF5)," ")</f>
        <v xml:space="preserve"> </v>
      </c>
      <c r="CH30" s="67" t="str">
        <f ca="1">IFERROR(IF(ISNUMBER(BZ30),INDEX('1.Locations'!L2:L32,BZ30 + 1) + CH29," ")," ")</f>
        <v xml:space="preserve"> </v>
      </c>
      <c r="CI30" s="67" t="str">
        <f ca="1">IFERROR(IF(ISNUMBER(BZ30),INDEX('1.Locations'!J2:J32,BZ30 + 1)," ")," ")</f>
        <v xml:space="preserve"> </v>
      </c>
      <c r="CJ30" s="67" t="str">
        <f ca="1">IFERROR(IF(ISNUMBER(BZ30),INDEX('1.Locations'!K2:K32,BZ30 + 1)," ")," ")</f>
        <v xml:space="preserve"> </v>
      </c>
      <c r="CK30" s="67" t="str">
        <f ca="1">IFERROR(IF(ISNUMBER(BZ30),SUM(CI5:CI30) + SUM(CJ31:CJ36)," ")," ")</f>
        <v xml:space="preserve"> </v>
      </c>
      <c r="CM30" s="17">
        <v>25</v>
      </c>
      <c r="CN30" s="18"/>
      <c r="CO30" s="67" t="str">
        <f ca="1">IFERROR(MATCH(INDIRECT("CN30"),'1.Locations'!B2:B32, 0) - 1," ")</f>
        <v xml:space="preserve"> </v>
      </c>
      <c r="CP30" s="67" t="e">
        <f ca="1">IFERROR(IF(ISNUMBER(CO30),INDEX('1.Locations'!D2:D32,CO30 + 1),NA()),NA())</f>
        <v>#N/A</v>
      </c>
      <c r="CQ30" s="67" t="e">
        <f ca="1">IFERROR(IF(ISNUMBER(CO30),INDEX('1.Locations'!E2:E32,CO30 + 1),NA()),NA())</f>
        <v>#N/A</v>
      </c>
      <c r="CR30" s="68" t="str">
        <f ca="1">IFERROR(IF(ISNUMBER(CO30),INDEX('2.Distances'!C2:C962,CO29*31+CO30+ 1) +CR29," ")," ")</f>
        <v xml:space="preserve"> </v>
      </c>
      <c r="CS30" s="69" t="str">
        <f ca="1">IFERROR(IF(ISNUMBER(CO30),INDEX('2.Distances'!D2:D962,CO29*31+CO30 + 1) +CS29," ")," ")</f>
        <v xml:space="preserve"> </v>
      </c>
      <c r="CT30" s="70" t="str">
        <f ca="1">IFERROR(IF(ISNUMBER(CO30),INDEX('2.Distances'!D2:D962,CO29*31+CO30 + 1) +CU29," ")," ")</f>
        <v xml:space="preserve"> </v>
      </c>
      <c r="CU30" s="70" t="str">
        <f ca="1">IFERROR(IF(AND(CO5&lt;&gt;CO30,ISNUMBER(CT30)),INDEX('1.Locations'!I2:I32,CO30 + 1) + MAX(CT30,INDEX('1.Locations'!F2:F32,CO30 + 1))," ")," ")</f>
        <v xml:space="preserve"> </v>
      </c>
      <c r="CV30" s="69" t="str">
        <f ca="1">IFERROR(IF(CO5 = CO30, CT30 - CU5, CU30 - CU5)," ")</f>
        <v xml:space="preserve"> </v>
      </c>
      <c r="CW30" s="67" t="str">
        <f ca="1">IFERROR(IF(ISNUMBER(CO30),INDEX('1.Locations'!L2:L32,CO30 + 1) + CW29," ")," ")</f>
        <v xml:space="preserve"> </v>
      </c>
      <c r="CX30" s="67" t="str">
        <f ca="1">IFERROR(IF(ISNUMBER(CO30),INDEX('1.Locations'!J2:J32,CO30 + 1)," ")," ")</f>
        <v xml:space="preserve"> </v>
      </c>
      <c r="CY30" s="67" t="str">
        <f ca="1">IFERROR(IF(ISNUMBER(CO30),INDEX('1.Locations'!K2:K32,CO30 + 1)," ")," ")</f>
        <v xml:space="preserve"> </v>
      </c>
      <c r="CZ30" s="67" t="str">
        <f ca="1">IFERROR(IF(ISNUMBER(CO30),SUM(CX5:CX30) + SUM(CY31:CY36)," ")," ")</f>
        <v xml:space="preserve"> </v>
      </c>
      <c r="DB30" s="17">
        <v>25</v>
      </c>
      <c r="DC30" s="18"/>
      <c r="DD30" s="67" t="str">
        <f ca="1">IFERROR(MATCH(INDIRECT("DC30"),'1.Locations'!B2:B32, 0) - 1," ")</f>
        <v xml:space="preserve"> </v>
      </c>
      <c r="DE30" s="67" t="e">
        <f ca="1">IFERROR(IF(ISNUMBER(DD30),INDEX('1.Locations'!D2:D32,DD30 + 1),NA()),NA())</f>
        <v>#N/A</v>
      </c>
      <c r="DF30" s="67" t="e">
        <f ca="1">IFERROR(IF(ISNUMBER(DD30),INDEX('1.Locations'!E2:E32,DD30 + 1),NA()),NA())</f>
        <v>#N/A</v>
      </c>
      <c r="DG30" s="68" t="str">
        <f ca="1">IFERROR(IF(ISNUMBER(DD30),INDEX('2.Distances'!C2:C962,DD29*31+DD30+ 1) +DG29," ")," ")</f>
        <v xml:space="preserve"> </v>
      </c>
      <c r="DH30" s="69" t="str">
        <f ca="1">IFERROR(IF(ISNUMBER(DD30),INDEX('2.Distances'!D2:D962,DD29*31+DD30 + 1) +DH29," ")," ")</f>
        <v xml:space="preserve"> </v>
      </c>
      <c r="DI30" s="70" t="str">
        <f ca="1">IFERROR(IF(ISNUMBER(DD30),INDEX('2.Distances'!D2:D962,DD29*31+DD30 + 1) +DJ29," ")," ")</f>
        <v xml:space="preserve"> </v>
      </c>
      <c r="DJ30" s="70" t="str">
        <f ca="1">IFERROR(IF(AND(DD5&lt;&gt;DD30,ISNUMBER(DI30)),INDEX('1.Locations'!I2:I32,DD30 + 1) + MAX(DI30,INDEX('1.Locations'!F2:F32,DD30 + 1))," ")," ")</f>
        <v xml:space="preserve"> </v>
      </c>
      <c r="DK30" s="69" t="str">
        <f ca="1">IFERROR(IF(DD5 = DD30, DI30 - DJ5, DJ30 - DJ5)," ")</f>
        <v xml:space="preserve"> </v>
      </c>
      <c r="DL30" s="67" t="str">
        <f ca="1">IFERROR(IF(ISNUMBER(DD30),INDEX('1.Locations'!L2:L32,DD30 + 1) + DL29," ")," ")</f>
        <v xml:space="preserve"> </v>
      </c>
      <c r="DM30" s="67" t="str">
        <f ca="1">IFERROR(IF(ISNUMBER(DD30),INDEX('1.Locations'!J2:J32,DD30 + 1)," ")," ")</f>
        <v xml:space="preserve"> </v>
      </c>
      <c r="DN30" s="67" t="str">
        <f ca="1">IFERROR(IF(ISNUMBER(DD30),INDEX('1.Locations'!K2:K32,DD30 + 1)," ")," ")</f>
        <v xml:space="preserve"> </v>
      </c>
      <c r="DO30" s="67" t="str">
        <f ca="1">IFERROR(IF(ISNUMBER(DD30),SUM(DM5:DM30) + SUM(DN31:DN36)," ")," ")</f>
        <v xml:space="preserve"> </v>
      </c>
      <c r="DQ30" s="17">
        <v>25</v>
      </c>
      <c r="DR30" s="18"/>
      <c r="DS30" s="67" t="str">
        <f ca="1">IFERROR(MATCH(INDIRECT("DR30"),'1.Locations'!B2:B32, 0) - 1," ")</f>
        <v xml:space="preserve"> </v>
      </c>
      <c r="DT30" s="67" t="e">
        <f ca="1">IFERROR(IF(ISNUMBER(DS30),INDEX('1.Locations'!D2:D32,DS30 + 1),NA()),NA())</f>
        <v>#N/A</v>
      </c>
      <c r="DU30" s="67" t="e">
        <f ca="1">IFERROR(IF(ISNUMBER(DS30),INDEX('1.Locations'!E2:E32,DS30 + 1),NA()),NA())</f>
        <v>#N/A</v>
      </c>
      <c r="DV30" s="68" t="str">
        <f ca="1">IFERROR(IF(ISNUMBER(DS30),INDEX('2.Distances'!C2:C962,DS29*31+DS30+ 1) +DV29," ")," ")</f>
        <v xml:space="preserve"> </v>
      </c>
      <c r="DW30" s="69" t="str">
        <f ca="1">IFERROR(IF(ISNUMBER(DS30),INDEX('2.Distances'!D2:D962,DS29*31+DS30 + 1) +DW29," ")," ")</f>
        <v xml:space="preserve"> </v>
      </c>
      <c r="DX30" s="70" t="str">
        <f ca="1">IFERROR(IF(ISNUMBER(DS30),INDEX('2.Distances'!D2:D962,DS29*31+DS30 + 1) +DY29," ")," ")</f>
        <v xml:space="preserve"> </v>
      </c>
      <c r="DY30" s="70" t="str">
        <f ca="1">IFERROR(IF(AND(DS5&lt;&gt;DS30,ISNUMBER(DX30)),INDEX('1.Locations'!I2:I32,DS30 + 1) + MAX(DX30,INDEX('1.Locations'!F2:F32,DS30 + 1))," ")," ")</f>
        <v xml:space="preserve"> </v>
      </c>
      <c r="DZ30" s="69" t="str">
        <f ca="1">IFERROR(IF(DS5 = DS30, DX30 - DY5, DY30 - DY5)," ")</f>
        <v xml:space="preserve"> </v>
      </c>
      <c r="EA30" s="67" t="str">
        <f ca="1">IFERROR(IF(ISNUMBER(DS30),INDEX('1.Locations'!L2:L32,DS30 + 1) + EA29," ")," ")</f>
        <v xml:space="preserve"> </v>
      </c>
      <c r="EB30" s="67" t="str">
        <f ca="1">IFERROR(IF(ISNUMBER(DS30),INDEX('1.Locations'!J2:J32,DS30 + 1)," ")," ")</f>
        <v xml:space="preserve"> </v>
      </c>
      <c r="EC30" s="67" t="str">
        <f ca="1">IFERROR(IF(ISNUMBER(DS30),INDEX('1.Locations'!K2:K32,DS30 + 1)," ")," ")</f>
        <v xml:space="preserve"> </v>
      </c>
      <c r="ED30" s="67" t="str">
        <f ca="1">IFERROR(IF(ISNUMBER(DS30),SUM(EB5:EB30) + SUM(EC31:EC36)," ")," ")</f>
        <v xml:space="preserve"> </v>
      </c>
      <c r="EF30" s="17">
        <v>25</v>
      </c>
      <c r="EG30" s="18"/>
      <c r="EH30" s="67" t="str">
        <f ca="1">IFERROR(MATCH(INDIRECT("EG30"),'1.Locations'!B2:B32, 0) - 1," ")</f>
        <v xml:space="preserve"> </v>
      </c>
      <c r="EI30" s="67" t="e">
        <f ca="1">IFERROR(IF(ISNUMBER(EH30),INDEX('1.Locations'!D2:D32,EH30 + 1),NA()),NA())</f>
        <v>#N/A</v>
      </c>
      <c r="EJ30" s="67" t="e">
        <f ca="1">IFERROR(IF(ISNUMBER(EH30),INDEX('1.Locations'!E2:E32,EH30 + 1),NA()),NA())</f>
        <v>#N/A</v>
      </c>
      <c r="EK30" s="68" t="str">
        <f ca="1">IFERROR(IF(ISNUMBER(EH30),INDEX('2.Distances'!C2:C962,EH29*31+EH30+ 1) +EK29," ")," ")</f>
        <v xml:space="preserve"> </v>
      </c>
      <c r="EL30" s="69" t="str">
        <f ca="1">IFERROR(IF(ISNUMBER(EH30),INDEX('2.Distances'!D2:D962,EH29*31+EH30 + 1) +EL29," ")," ")</f>
        <v xml:space="preserve"> </v>
      </c>
      <c r="EM30" s="70" t="str">
        <f ca="1">IFERROR(IF(ISNUMBER(EH30),INDEX('2.Distances'!D2:D962,EH29*31+EH30 + 1) +EN29," ")," ")</f>
        <v xml:space="preserve"> </v>
      </c>
      <c r="EN30" s="70" t="str">
        <f ca="1">IFERROR(IF(AND(EH5&lt;&gt;EH30,ISNUMBER(EM30)),INDEX('1.Locations'!I2:I32,EH30 + 1) + MAX(EM30,INDEX('1.Locations'!F2:F32,EH30 + 1))," ")," ")</f>
        <v xml:space="preserve"> </v>
      </c>
      <c r="EO30" s="69" t="str">
        <f ca="1">IFERROR(IF(EH5 = EH30, EM30 - EN5, EN30 - EN5)," ")</f>
        <v xml:space="preserve"> </v>
      </c>
      <c r="EP30" s="67" t="str">
        <f ca="1">IFERROR(IF(ISNUMBER(EH30),INDEX('1.Locations'!L2:L32,EH30 + 1) + EP29," ")," ")</f>
        <v xml:space="preserve"> </v>
      </c>
      <c r="EQ30" s="67" t="str">
        <f ca="1">IFERROR(IF(ISNUMBER(EH30),INDEX('1.Locations'!J2:J32,EH30 + 1)," ")," ")</f>
        <v xml:space="preserve"> </v>
      </c>
      <c r="ER30" s="67" t="str">
        <f ca="1">IFERROR(IF(ISNUMBER(EH30),INDEX('1.Locations'!K2:K32,EH30 + 1)," ")," ")</f>
        <v xml:space="preserve"> </v>
      </c>
      <c r="ES30" s="67" t="str">
        <f ca="1">IFERROR(IF(ISNUMBER(EH30),SUM(EQ5:EQ30) + SUM(ER31:ER36)," ")," ")</f>
        <v xml:space="preserve"> </v>
      </c>
    </row>
    <row r="31" spans="1:149" x14ac:dyDescent="0.25">
      <c r="A31" s="17">
        <v>26</v>
      </c>
      <c r="B31" s="21"/>
      <c r="C31" s="67" t="str">
        <f ca="1">IFERROR(MATCH(INDIRECT("B31"),'1.Locations'!B2:B32, 0) - 1," ")</f>
        <v xml:space="preserve"> </v>
      </c>
      <c r="D31" s="67" t="e">
        <f ca="1">IFERROR(IF(ISNUMBER(C31),INDEX('1.Locations'!D2:D32,C31 + 1),NA()),NA())</f>
        <v>#N/A</v>
      </c>
      <c r="E31" s="67" t="e">
        <f ca="1">IFERROR(IF(ISNUMBER(C31),INDEX('1.Locations'!E2:E32,C31 + 1),NA()),NA())</f>
        <v>#N/A</v>
      </c>
      <c r="F31" s="68" t="str">
        <f ca="1">IFERROR(IF(ISNUMBER(C31),INDEX('2.Distances'!C2:C962,C30*31+C31+ 1) +F30," ")," ")</f>
        <v xml:space="preserve"> </v>
      </c>
      <c r="G31" s="69" t="str">
        <f ca="1">IFERROR(IF(ISNUMBER(C31),INDEX('2.Distances'!D2:D962,C30*31+C31 + 1) +G30," ")," ")</f>
        <v xml:space="preserve"> </v>
      </c>
      <c r="H31" s="70" t="str">
        <f ca="1">IFERROR(IF(ISNUMBER(C31),INDEX('2.Distances'!D2:D962,C30*31+C31 + 1) +I30," ")," ")</f>
        <v xml:space="preserve"> </v>
      </c>
      <c r="I31" s="70" t="str">
        <f ca="1">IFERROR(IF(AND(C5&lt;&gt;C31,ISNUMBER(H31)),INDEX('1.Locations'!I2:I32,C31 + 1) + MAX(H31,INDEX('1.Locations'!F2:F32,C31 + 1))," ")," ")</f>
        <v xml:space="preserve"> </v>
      </c>
      <c r="J31" s="69" t="str">
        <f ca="1">IFERROR(IF(C5 = C31, H31 - I5, I31 - I5)," ")</f>
        <v xml:space="preserve"> </v>
      </c>
      <c r="K31" s="67" t="str">
        <f ca="1">IFERROR(IF(ISNUMBER(C31),INDEX('1.Locations'!L2:L32,C31 + 1) + K30," ")," ")</f>
        <v xml:space="preserve"> </v>
      </c>
      <c r="L31" s="67" t="str">
        <f ca="1">IFERROR(IF(ISNUMBER(C31),INDEX('1.Locations'!J2:J32,C31 + 1)," ")," ")</f>
        <v xml:space="preserve"> </v>
      </c>
      <c r="M31" s="67" t="str">
        <f ca="1">IFERROR(IF(ISNUMBER(C31),INDEX('1.Locations'!K2:K32,C31 + 1)," ")," ")</f>
        <v xml:space="preserve"> </v>
      </c>
      <c r="N31" s="67" t="str">
        <f ca="1">IFERROR(IF(ISNUMBER(C31),SUM(L5:L31) + SUM(M32:M36)," ")," ")</f>
        <v xml:space="preserve"> </v>
      </c>
      <c r="P31" s="17">
        <v>26</v>
      </c>
      <c r="Q31" s="21"/>
      <c r="R31" s="67" t="str">
        <f ca="1">IFERROR(MATCH(INDIRECT("Q31"),'1.Locations'!B2:B32, 0) - 1," ")</f>
        <v xml:space="preserve"> </v>
      </c>
      <c r="S31" s="67" t="e">
        <f ca="1">IFERROR(IF(ISNUMBER(R31),INDEX('1.Locations'!D2:D32,R31 + 1),NA()),NA())</f>
        <v>#N/A</v>
      </c>
      <c r="T31" s="67" t="e">
        <f ca="1">IFERROR(IF(ISNUMBER(R31),INDEX('1.Locations'!E2:E32,R31 + 1),NA()),NA())</f>
        <v>#N/A</v>
      </c>
      <c r="U31" s="68" t="str">
        <f ca="1">IFERROR(IF(ISNUMBER(R31),INDEX('2.Distances'!C2:C962,R30*31+R31+ 1) +U30," ")," ")</f>
        <v xml:space="preserve"> </v>
      </c>
      <c r="V31" s="69" t="str">
        <f ca="1">IFERROR(IF(ISNUMBER(R31),INDEX('2.Distances'!D2:D962,R30*31+R31 + 1) +V30," ")," ")</f>
        <v xml:space="preserve"> </v>
      </c>
      <c r="W31" s="70" t="str">
        <f ca="1">IFERROR(IF(ISNUMBER(R31),INDEX('2.Distances'!D2:D962,R30*31+R31 + 1) +X30," ")," ")</f>
        <v xml:space="preserve"> </v>
      </c>
      <c r="X31" s="70" t="str">
        <f ca="1">IFERROR(IF(AND(R5&lt;&gt;R31,ISNUMBER(W31)),INDEX('1.Locations'!I2:I32,R31 + 1) + MAX(W31,INDEX('1.Locations'!F2:F32,R31 + 1))," ")," ")</f>
        <v xml:space="preserve"> </v>
      </c>
      <c r="Y31" s="69" t="str">
        <f ca="1">IFERROR(IF(R5 = R31, W31 - X5, X31 - X5)," ")</f>
        <v xml:space="preserve"> </v>
      </c>
      <c r="Z31" s="67" t="str">
        <f ca="1">IFERROR(IF(ISNUMBER(R31),INDEX('1.Locations'!L2:L32,R31 + 1) + Z30," ")," ")</f>
        <v xml:space="preserve"> </v>
      </c>
      <c r="AA31" s="67" t="str">
        <f ca="1">IFERROR(IF(ISNUMBER(R31),INDEX('1.Locations'!J2:J32,R31 + 1)," ")," ")</f>
        <v xml:space="preserve"> </v>
      </c>
      <c r="AB31" s="67" t="str">
        <f ca="1">IFERROR(IF(ISNUMBER(R31),INDEX('1.Locations'!K2:K32,R31 + 1)," ")," ")</f>
        <v xml:space="preserve"> </v>
      </c>
      <c r="AC31" s="67" t="str">
        <f ca="1">IFERROR(IF(ISNUMBER(R31),SUM(AA5:AA31) + SUM(AB32:AB36)," ")," ")</f>
        <v xml:space="preserve"> </v>
      </c>
      <c r="AE31" s="17">
        <v>26</v>
      </c>
      <c r="AF31" s="21"/>
      <c r="AG31" s="67" t="str">
        <f ca="1">IFERROR(MATCH(INDIRECT("AF31"),'1.Locations'!B2:B32, 0) - 1," ")</f>
        <v xml:space="preserve"> </v>
      </c>
      <c r="AH31" s="67" t="e">
        <f ca="1">IFERROR(IF(ISNUMBER(AG31),INDEX('1.Locations'!D2:D32,AG31 + 1),NA()),NA())</f>
        <v>#N/A</v>
      </c>
      <c r="AI31" s="67" t="e">
        <f ca="1">IFERROR(IF(ISNUMBER(AG31),INDEX('1.Locations'!E2:E32,AG31 + 1),NA()),NA())</f>
        <v>#N/A</v>
      </c>
      <c r="AJ31" s="68" t="str">
        <f ca="1">IFERROR(IF(ISNUMBER(AG31),INDEX('2.Distances'!C2:C962,AG30*31+AG31+ 1) +AJ30," ")," ")</f>
        <v xml:space="preserve"> </v>
      </c>
      <c r="AK31" s="69" t="str">
        <f ca="1">IFERROR(IF(ISNUMBER(AG31),INDEX('2.Distances'!D2:D962,AG30*31+AG31 + 1) +AK30," ")," ")</f>
        <v xml:space="preserve"> </v>
      </c>
      <c r="AL31" s="70" t="str">
        <f ca="1">IFERROR(IF(ISNUMBER(AG31),INDEX('2.Distances'!D2:D962,AG30*31+AG31 + 1) +AM30," ")," ")</f>
        <v xml:space="preserve"> </v>
      </c>
      <c r="AM31" s="70" t="str">
        <f ca="1">IFERROR(IF(AND(AG5&lt;&gt;AG31,ISNUMBER(AL31)),INDEX('1.Locations'!I2:I32,AG31 + 1) + MAX(AL31,INDEX('1.Locations'!F2:F32,AG31 + 1))," ")," ")</f>
        <v xml:space="preserve"> </v>
      </c>
      <c r="AN31" s="69" t="str">
        <f ca="1">IFERROR(IF(AG5 = AG31, AL31 - AM5, AM31 - AM5)," ")</f>
        <v xml:space="preserve"> </v>
      </c>
      <c r="AO31" s="67" t="str">
        <f ca="1">IFERROR(IF(ISNUMBER(AG31),INDEX('1.Locations'!L2:L32,AG31 + 1) + AO30," ")," ")</f>
        <v xml:space="preserve"> </v>
      </c>
      <c r="AP31" s="67" t="str">
        <f ca="1">IFERROR(IF(ISNUMBER(AG31),INDEX('1.Locations'!J2:J32,AG31 + 1)," ")," ")</f>
        <v xml:space="preserve"> </v>
      </c>
      <c r="AQ31" s="67" t="str">
        <f ca="1">IFERROR(IF(ISNUMBER(AG31),INDEX('1.Locations'!K2:K32,AG31 + 1)," ")," ")</f>
        <v xml:space="preserve"> </v>
      </c>
      <c r="AR31" s="67" t="str">
        <f ca="1">IFERROR(IF(ISNUMBER(AG31),SUM(AP5:AP31) + SUM(AQ32:AQ36)," ")," ")</f>
        <v xml:space="preserve"> </v>
      </c>
      <c r="AT31" s="17">
        <v>26</v>
      </c>
      <c r="AU31" s="21"/>
      <c r="AV31" s="67" t="str">
        <f ca="1">IFERROR(MATCH(INDIRECT("AU31"),'1.Locations'!B2:B32, 0) - 1," ")</f>
        <v xml:space="preserve"> </v>
      </c>
      <c r="AW31" s="67" t="e">
        <f ca="1">IFERROR(IF(ISNUMBER(AV31),INDEX('1.Locations'!D2:D32,AV31 + 1),NA()),NA())</f>
        <v>#N/A</v>
      </c>
      <c r="AX31" s="67" t="e">
        <f ca="1">IFERROR(IF(ISNUMBER(AV31),INDEX('1.Locations'!E2:E32,AV31 + 1),NA()),NA())</f>
        <v>#N/A</v>
      </c>
      <c r="AY31" s="68" t="str">
        <f ca="1">IFERROR(IF(ISNUMBER(AV31),INDEX('2.Distances'!C2:C962,AV30*31+AV31+ 1) +AY30," ")," ")</f>
        <v xml:space="preserve"> </v>
      </c>
      <c r="AZ31" s="69" t="str">
        <f ca="1">IFERROR(IF(ISNUMBER(AV31),INDEX('2.Distances'!D2:D962,AV30*31+AV31 + 1) +AZ30," ")," ")</f>
        <v xml:space="preserve"> </v>
      </c>
      <c r="BA31" s="70" t="str">
        <f ca="1">IFERROR(IF(ISNUMBER(AV31),INDEX('2.Distances'!D2:D962,AV30*31+AV31 + 1) +BB30," ")," ")</f>
        <v xml:space="preserve"> </v>
      </c>
      <c r="BB31" s="70" t="str">
        <f ca="1">IFERROR(IF(AND(AV5&lt;&gt;AV31,ISNUMBER(BA31)),INDEX('1.Locations'!I2:I32,AV31 + 1) + MAX(BA31,INDEX('1.Locations'!F2:F32,AV31 + 1))," ")," ")</f>
        <v xml:space="preserve"> </v>
      </c>
      <c r="BC31" s="69" t="str">
        <f ca="1">IFERROR(IF(AV5 = AV31, BA31 - BB5, BB31 - BB5)," ")</f>
        <v xml:space="preserve"> </v>
      </c>
      <c r="BD31" s="67" t="str">
        <f ca="1">IFERROR(IF(ISNUMBER(AV31),INDEX('1.Locations'!L2:L32,AV31 + 1) + BD30," ")," ")</f>
        <v xml:space="preserve"> </v>
      </c>
      <c r="BE31" s="67" t="str">
        <f ca="1">IFERROR(IF(ISNUMBER(AV31),INDEX('1.Locations'!J2:J32,AV31 + 1)," ")," ")</f>
        <v xml:space="preserve"> </v>
      </c>
      <c r="BF31" s="67" t="str">
        <f ca="1">IFERROR(IF(ISNUMBER(AV31),INDEX('1.Locations'!K2:K32,AV31 + 1)," ")," ")</f>
        <v xml:space="preserve"> </v>
      </c>
      <c r="BG31" s="67" t="str">
        <f ca="1">IFERROR(IF(ISNUMBER(AV31),SUM(BE5:BE31) + SUM(BF32:BF36)," ")," ")</f>
        <v xml:space="preserve"> </v>
      </c>
      <c r="BI31" s="17">
        <v>26</v>
      </c>
      <c r="BJ31" s="21"/>
      <c r="BK31" s="67" t="str">
        <f ca="1">IFERROR(MATCH(INDIRECT("BJ31"),'1.Locations'!B2:B32, 0) - 1," ")</f>
        <v xml:space="preserve"> </v>
      </c>
      <c r="BL31" s="67" t="e">
        <f ca="1">IFERROR(IF(ISNUMBER(BK31),INDEX('1.Locations'!D2:D32,BK31 + 1),NA()),NA())</f>
        <v>#N/A</v>
      </c>
      <c r="BM31" s="67" t="e">
        <f ca="1">IFERROR(IF(ISNUMBER(BK31),INDEX('1.Locations'!E2:E32,BK31 + 1),NA()),NA())</f>
        <v>#N/A</v>
      </c>
      <c r="BN31" s="68" t="str">
        <f ca="1">IFERROR(IF(ISNUMBER(BK31),INDEX('2.Distances'!C2:C962,BK30*31+BK31+ 1) +BN30," ")," ")</f>
        <v xml:space="preserve"> </v>
      </c>
      <c r="BO31" s="69" t="str">
        <f ca="1">IFERROR(IF(ISNUMBER(BK31),INDEX('2.Distances'!D2:D962,BK30*31+BK31 + 1) +BO30," ")," ")</f>
        <v xml:space="preserve"> </v>
      </c>
      <c r="BP31" s="70" t="str">
        <f ca="1">IFERROR(IF(ISNUMBER(BK31),INDEX('2.Distances'!D2:D962,BK30*31+BK31 + 1) +BQ30," ")," ")</f>
        <v xml:space="preserve"> </v>
      </c>
      <c r="BQ31" s="70" t="str">
        <f ca="1">IFERROR(IF(AND(BK5&lt;&gt;BK31,ISNUMBER(BP31)),INDEX('1.Locations'!I2:I32,BK31 + 1) + MAX(BP31,INDEX('1.Locations'!F2:F32,BK31 + 1))," ")," ")</f>
        <v xml:space="preserve"> </v>
      </c>
      <c r="BR31" s="69" t="str">
        <f ca="1">IFERROR(IF(BK5 = BK31, BP31 - BQ5, BQ31 - BQ5)," ")</f>
        <v xml:space="preserve"> </v>
      </c>
      <c r="BS31" s="67" t="str">
        <f ca="1">IFERROR(IF(ISNUMBER(BK31),INDEX('1.Locations'!L2:L32,BK31 + 1) + BS30," ")," ")</f>
        <v xml:space="preserve"> </v>
      </c>
      <c r="BT31" s="67" t="str">
        <f ca="1">IFERROR(IF(ISNUMBER(BK31),INDEX('1.Locations'!J2:J32,BK31 + 1)," ")," ")</f>
        <v xml:space="preserve"> </v>
      </c>
      <c r="BU31" s="67" t="str">
        <f ca="1">IFERROR(IF(ISNUMBER(BK31),INDEX('1.Locations'!K2:K32,BK31 + 1)," ")," ")</f>
        <v xml:space="preserve"> </v>
      </c>
      <c r="BV31" s="67" t="str">
        <f ca="1">IFERROR(IF(ISNUMBER(BK31),SUM(BT5:BT31) + SUM(BU32:BU36)," ")," ")</f>
        <v xml:space="preserve"> </v>
      </c>
      <c r="BX31" s="17">
        <v>26</v>
      </c>
      <c r="BY31" s="21"/>
      <c r="BZ31" s="67" t="str">
        <f ca="1">IFERROR(MATCH(INDIRECT("BY31"),'1.Locations'!B2:B32, 0) - 1," ")</f>
        <v xml:space="preserve"> </v>
      </c>
      <c r="CA31" s="67" t="e">
        <f ca="1">IFERROR(IF(ISNUMBER(BZ31),INDEX('1.Locations'!D2:D32,BZ31 + 1),NA()),NA())</f>
        <v>#N/A</v>
      </c>
      <c r="CB31" s="67" t="e">
        <f ca="1">IFERROR(IF(ISNUMBER(BZ31),INDEX('1.Locations'!E2:E32,BZ31 + 1),NA()),NA())</f>
        <v>#N/A</v>
      </c>
      <c r="CC31" s="68" t="str">
        <f ca="1">IFERROR(IF(ISNUMBER(BZ31),INDEX('2.Distances'!C2:C962,BZ30*31+BZ31+ 1) +CC30," ")," ")</f>
        <v xml:space="preserve"> </v>
      </c>
      <c r="CD31" s="69" t="str">
        <f ca="1">IFERROR(IF(ISNUMBER(BZ31),INDEX('2.Distances'!D2:D962,BZ30*31+BZ31 + 1) +CD30," ")," ")</f>
        <v xml:space="preserve"> </v>
      </c>
      <c r="CE31" s="70" t="str">
        <f ca="1">IFERROR(IF(ISNUMBER(BZ31),INDEX('2.Distances'!D2:D962,BZ30*31+BZ31 + 1) +CF30," ")," ")</f>
        <v xml:space="preserve"> </v>
      </c>
      <c r="CF31" s="70" t="str">
        <f ca="1">IFERROR(IF(AND(BZ5&lt;&gt;BZ31,ISNUMBER(CE31)),INDEX('1.Locations'!I2:I32,BZ31 + 1) + MAX(CE31,INDEX('1.Locations'!F2:F32,BZ31 + 1))," ")," ")</f>
        <v xml:space="preserve"> </v>
      </c>
      <c r="CG31" s="69" t="str">
        <f ca="1">IFERROR(IF(BZ5 = BZ31, CE31 - CF5, CF31 - CF5)," ")</f>
        <v xml:space="preserve"> </v>
      </c>
      <c r="CH31" s="67" t="str">
        <f ca="1">IFERROR(IF(ISNUMBER(BZ31),INDEX('1.Locations'!L2:L32,BZ31 + 1) + CH30," ")," ")</f>
        <v xml:space="preserve"> </v>
      </c>
      <c r="CI31" s="67" t="str">
        <f ca="1">IFERROR(IF(ISNUMBER(BZ31),INDEX('1.Locations'!J2:J32,BZ31 + 1)," ")," ")</f>
        <v xml:space="preserve"> </v>
      </c>
      <c r="CJ31" s="67" t="str">
        <f ca="1">IFERROR(IF(ISNUMBER(BZ31),INDEX('1.Locations'!K2:K32,BZ31 + 1)," ")," ")</f>
        <v xml:space="preserve"> </v>
      </c>
      <c r="CK31" s="67" t="str">
        <f ca="1">IFERROR(IF(ISNUMBER(BZ31),SUM(CI5:CI31) + SUM(CJ32:CJ36)," ")," ")</f>
        <v xml:space="preserve"> </v>
      </c>
      <c r="CM31" s="17">
        <v>26</v>
      </c>
      <c r="CN31" s="21"/>
      <c r="CO31" s="67" t="str">
        <f ca="1">IFERROR(MATCH(INDIRECT("CN31"),'1.Locations'!B2:B32, 0) - 1," ")</f>
        <v xml:space="preserve"> </v>
      </c>
      <c r="CP31" s="67" t="e">
        <f ca="1">IFERROR(IF(ISNUMBER(CO31),INDEX('1.Locations'!D2:D32,CO31 + 1),NA()),NA())</f>
        <v>#N/A</v>
      </c>
      <c r="CQ31" s="67" t="e">
        <f ca="1">IFERROR(IF(ISNUMBER(CO31),INDEX('1.Locations'!E2:E32,CO31 + 1),NA()),NA())</f>
        <v>#N/A</v>
      </c>
      <c r="CR31" s="68" t="str">
        <f ca="1">IFERROR(IF(ISNUMBER(CO31),INDEX('2.Distances'!C2:C962,CO30*31+CO31+ 1) +CR30," ")," ")</f>
        <v xml:space="preserve"> </v>
      </c>
      <c r="CS31" s="69" t="str">
        <f ca="1">IFERROR(IF(ISNUMBER(CO31),INDEX('2.Distances'!D2:D962,CO30*31+CO31 + 1) +CS30," ")," ")</f>
        <v xml:space="preserve"> </v>
      </c>
      <c r="CT31" s="70" t="str">
        <f ca="1">IFERROR(IF(ISNUMBER(CO31),INDEX('2.Distances'!D2:D962,CO30*31+CO31 + 1) +CU30," ")," ")</f>
        <v xml:space="preserve"> </v>
      </c>
      <c r="CU31" s="70" t="str">
        <f ca="1">IFERROR(IF(AND(CO5&lt;&gt;CO31,ISNUMBER(CT31)),INDEX('1.Locations'!I2:I32,CO31 + 1) + MAX(CT31,INDEX('1.Locations'!F2:F32,CO31 + 1))," ")," ")</f>
        <v xml:space="preserve"> </v>
      </c>
      <c r="CV31" s="69" t="str">
        <f ca="1">IFERROR(IF(CO5 = CO31, CT31 - CU5, CU31 - CU5)," ")</f>
        <v xml:space="preserve"> </v>
      </c>
      <c r="CW31" s="67" t="str">
        <f ca="1">IFERROR(IF(ISNUMBER(CO31),INDEX('1.Locations'!L2:L32,CO31 + 1) + CW30," ")," ")</f>
        <v xml:space="preserve"> </v>
      </c>
      <c r="CX31" s="67" t="str">
        <f ca="1">IFERROR(IF(ISNUMBER(CO31),INDEX('1.Locations'!J2:J32,CO31 + 1)," ")," ")</f>
        <v xml:space="preserve"> </v>
      </c>
      <c r="CY31" s="67" t="str">
        <f ca="1">IFERROR(IF(ISNUMBER(CO31),INDEX('1.Locations'!K2:K32,CO31 + 1)," ")," ")</f>
        <v xml:space="preserve"> </v>
      </c>
      <c r="CZ31" s="67" t="str">
        <f ca="1">IFERROR(IF(ISNUMBER(CO31),SUM(CX5:CX31) + SUM(CY32:CY36)," ")," ")</f>
        <v xml:space="preserve"> </v>
      </c>
      <c r="DB31" s="17">
        <v>26</v>
      </c>
      <c r="DC31" s="21"/>
      <c r="DD31" s="67" t="str">
        <f ca="1">IFERROR(MATCH(INDIRECT("DC31"),'1.Locations'!B2:B32, 0) - 1," ")</f>
        <v xml:space="preserve"> </v>
      </c>
      <c r="DE31" s="67" t="e">
        <f ca="1">IFERROR(IF(ISNUMBER(DD31),INDEX('1.Locations'!D2:D32,DD31 + 1),NA()),NA())</f>
        <v>#N/A</v>
      </c>
      <c r="DF31" s="67" t="e">
        <f ca="1">IFERROR(IF(ISNUMBER(DD31),INDEX('1.Locations'!E2:E32,DD31 + 1),NA()),NA())</f>
        <v>#N/A</v>
      </c>
      <c r="DG31" s="68" t="str">
        <f ca="1">IFERROR(IF(ISNUMBER(DD31),INDEX('2.Distances'!C2:C962,DD30*31+DD31+ 1) +DG30," ")," ")</f>
        <v xml:space="preserve"> </v>
      </c>
      <c r="DH31" s="69" t="str">
        <f ca="1">IFERROR(IF(ISNUMBER(DD31),INDEX('2.Distances'!D2:D962,DD30*31+DD31 + 1) +DH30," ")," ")</f>
        <v xml:space="preserve"> </v>
      </c>
      <c r="DI31" s="70" t="str">
        <f ca="1">IFERROR(IF(ISNUMBER(DD31),INDEX('2.Distances'!D2:D962,DD30*31+DD31 + 1) +DJ30," ")," ")</f>
        <v xml:space="preserve"> </v>
      </c>
      <c r="DJ31" s="70" t="str">
        <f ca="1">IFERROR(IF(AND(DD5&lt;&gt;DD31,ISNUMBER(DI31)),INDEX('1.Locations'!I2:I32,DD31 + 1) + MAX(DI31,INDEX('1.Locations'!F2:F32,DD31 + 1))," ")," ")</f>
        <v xml:space="preserve"> </v>
      </c>
      <c r="DK31" s="69" t="str">
        <f ca="1">IFERROR(IF(DD5 = DD31, DI31 - DJ5, DJ31 - DJ5)," ")</f>
        <v xml:space="preserve"> </v>
      </c>
      <c r="DL31" s="67" t="str">
        <f ca="1">IFERROR(IF(ISNUMBER(DD31),INDEX('1.Locations'!L2:L32,DD31 + 1) + DL30," ")," ")</f>
        <v xml:space="preserve"> </v>
      </c>
      <c r="DM31" s="67" t="str">
        <f ca="1">IFERROR(IF(ISNUMBER(DD31),INDEX('1.Locations'!J2:J32,DD31 + 1)," ")," ")</f>
        <v xml:space="preserve"> </v>
      </c>
      <c r="DN31" s="67" t="str">
        <f ca="1">IFERROR(IF(ISNUMBER(DD31),INDEX('1.Locations'!K2:K32,DD31 + 1)," ")," ")</f>
        <v xml:space="preserve"> </v>
      </c>
      <c r="DO31" s="67" t="str">
        <f ca="1">IFERROR(IF(ISNUMBER(DD31),SUM(DM5:DM31) + SUM(DN32:DN36)," ")," ")</f>
        <v xml:space="preserve"> </v>
      </c>
      <c r="DQ31" s="17">
        <v>26</v>
      </c>
      <c r="DR31" s="21"/>
      <c r="DS31" s="67" t="str">
        <f ca="1">IFERROR(MATCH(INDIRECT("DR31"),'1.Locations'!B2:B32, 0) - 1," ")</f>
        <v xml:space="preserve"> </v>
      </c>
      <c r="DT31" s="67" t="e">
        <f ca="1">IFERROR(IF(ISNUMBER(DS31),INDEX('1.Locations'!D2:D32,DS31 + 1),NA()),NA())</f>
        <v>#N/A</v>
      </c>
      <c r="DU31" s="67" t="e">
        <f ca="1">IFERROR(IF(ISNUMBER(DS31),INDEX('1.Locations'!E2:E32,DS31 + 1),NA()),NA())</f>
        <v>#N/A</v>
      </c>
      <c r="DV31" s="68" t="str">
        <f ca="1">IFERROR(IF(ISNUMBER(DS31),INDEX('2.Distances'!C2:C962,DS30*31+DS31+ 1) +DV30," ")," ")</f>
        <v xml:space="preserve"> </v>
      </c>
      <c r="DW31" s="69" t="str">
        <f ca="1">IFERROR(IF(ISNUMBER(DS31),INDEX('2.Distances'!D2:D962,DS30*31+DS31 + 1) +DW30," ")," ")</f>
        <v xml:space="preserve"> </v>
      </c>
      <c r="DX31" s="70" t="str">
        <f ca="1">IFERROR(IF(ISNUMBER(DS31),INDEX('2.Distances'!D2:D962,DS30*31+DS31 + 1) +DY30," ")," ")</f>
        <v xml:space="preserve"> </v>
      </c>
      <c r="DY31" s="70" t="str">
        <f ca="1">IFERROR(IF(AND(DS5&lt;&gt;DS31,ISNUMBER(DX31)),INDEX('1.Locations'!I2:I32,DS31 + 1) + MAX(DX31,INDEX('1.Locations'!F2:F32,DS31 + 1))," ")," ")</f>
        <v xml:space="preserve"> </v>
      </c>
      <c r="DZ31" s="69" t="str">
        <f ca="1">IFERROR(IF(DS5 = DS31, DX31 - DY5, DY31 - DY5)," ")</f>
        <v xml:space="preserve"> </v>
      </c>
      <c r="EA31" s="67" t="str">
        <f ca="1">IFERROR(IF(ISNUMBER(DS31),INDEX('1.Locations'!L2:L32,DS31 + 1) + EA30," ")," ")</f>
        <v xml:space="preserve"> </v>
      </c>
      <c r="EB31" s="67" t="str">
        <f ca="1">IFERROR(IF(ISNUMBER(DS31),INDEX('1.Locations'!J2:J32,DS31 + 1)," ")," ")</f>
        <v xml:space="preserve"> </v>
      </c>
      <c r="EC31" s="67" t="str">
        <f ca="1">IFERROR(IF(ISNUMBER(DS31),INDEX('1.Locations'!K2:K32,DS31 + 1)," ")," ")</f>
        <v xml:space="preserve"> </v>
      </c>
      <c r="ED31" s="67" t="str">
        <f ca="1">IFERROR(IF(ISNUMBER(DS31),SUM(EB5:EB31) + SUM(EC32:EC36)," ")," ")</f>
        <v xml:space="preserve"> </v>
      </c>
      <c r="EF31" s="17">
        <v>26</v>
      </c>
      <c r="EG31" s="21"/>
      <c r="EH31" s="67" t="str">
        <f ca="1">IFERROR(MATCH(INDIRECT("EG31"),'1.Locations'!B2:B32, 0) - 1," ")</f>
        <v xml:space="preserve"> </v>
      </c>
      <c r="EI31" s="67" t="e">
        <f ca="1">IFERROR(IF(ISNUMBER(EH31),INDEX('1.Locations'!D2:D32,EH31 + 1),NA()),NA())</f>
        <v>#N/A</v>
      </c>
      <c r="EJ31" s="67" t="e">
        <f ca="1">IFERROR(IF(ISNUMBER(EH31),INDEX('1.Locations'!E2:E32,EH31 + 1),NA()),NA())</f>
        <v>#N/A</v>
      </c>
      <c r="EK31" s="68" t="str">
        <f ca="1">IFERROR(IF(ISNUMBER(EH31),INDEX('2.Distances'!C2:C962,EH30*31+EH31+ 1) +EK30," ")," ")</f>
        <v xml:space="preserve"> </v>
      </c>
      <c r="EL31" s="69" t="str">
        <f ca="1">IFERROR(IF(ISNUMBER(EH31),INDEX('2.Distances'!D2:D962,EH30*31+EH31 + 1) +EL30," ")," ")</f>
        <v xml:space="preserve"> </v>
      </c>
      <c r="EM31" s="70" t="str">
        <f ca="1">IFERROR(IF(ISNUMBER(EH31),INDEX('2.Distances'!D2:D962,EH30*31+EH31 + 1) +EN30," ")," ")</f>
        <v xml:space="preserve"> </v>
      </c>
      <c r="EN31" s="70" t="str">
        <f ca="1">IFERROR(IF(AND(EH5&lt;&gt;EH31,ISNUMBER(EM31)),INDEX('1.Locations'!I2:I32,EH31 + 1) + MAX(EM31,INDEX('1.Locations'!F2:F32,EH31 + 1))," ")," ")</f>
        <v xml:space="preserve"> </v>
      </c>
      <c r="EO31" s="69" t="str">
        <f ca="1">IFERROR(IF(EH5 = EH31, EM31 - EN5, EN31 - EN5)," ")</f>
        <v xml:space="preserve"> </v>
      </c>
      <c r="EP31" s="67" t="str">
        <f ca="1">IFERROR(IF(ISNUMBER(EH31),INDEX('1.Locations'!L2:L32,EH31 + 1) + EP30," ")," ")</f>
        <v xml:space="preserve"> </v>
      </c>
      <c r="EQ31" s="67" t="str">
        <f ca="1">IFERROR(IF(ISNUMBER(EH31),INDEX('1.Locations'!J2:J32,EH31 + 1)," ")," ")</f>
        <v xml:space="preserve"> </v>
      </c>
      <c r="ER31" s="67" t="str">
        <f ca="1">IFERROR(IF(ISNUMBER(EH31),INDEX('1.Locations'!K2:K32,EH31 + 1)," ")," ")</f>
        <v xml:space="preserve"> </v>
      </c>
      <c r="ES31" s="67" t="str">
        <f ca="1">IFERROR(IF(ISNUMBER(EH31),SUM(EQ5:EQ31) + SUM(ER32:ER36)," ")," ")</f>
        <v xml:space="preserve"> </v>
      </c>
    </row>
    <row r="32" spans="1:149" x14ac:dyDescent="0.25">
      <c r="A32" s="17">
        <v>27</v>
      </c>
      <c r="B32" s="18"/>
      <c r="C32" s="67" t="str">
        <f ca="1">IFERROR(MATCH(INDIRECT("B32"),'1.Locations'!B2:B32, 0) - 1," ")</f>
        <v xml:space="preserve"> </v>
      </c>
      <c r="D32" s="67" t="e">
        <f ca="1">IFERROR(IF(ISNUMBER(C32),INDEX('1.Locations'!D2:D32,C32 + 1),NA()),NA())</f>
        <v>#N/A</v>
      </c>
      <c r="E32" s="67" t="e">
        <f ca="1">IFERROR(IF(ISNUMBER(C32),INDEX('1.Locations'!E2:E32,C32 + 1),NA()),NA())</f>
        <v>#N/A</v>
      </c>
      <c r="F32" s="68" t="str">
        <f ca="1">IFERROR(IF(ISNUMBER(C32),INDEX('2.Distances'!C2:C962,C31*31+C32+ 1) +F31," ")," ")</f>
        <v xml:space="preserve"> </v>
      </c>
      <c r="G32" s="69" t="str">
        <f ca="1">IFERROR(IF(ISNUMBER(C32),INDEX('2.Distances'!D2:D962,C31*31+C32 + 1) +G31," ")," ")</f>
        <v xml:space="preserve"> </v>
      </c>
      <c r="H32" s="70" t="str">
        <f ca="1">IFERROR(IF(ISNUMBER(C32),INDEX('2.Distances'!D2:D962,C31*31+C32 + 1) +I31," ")," ")</f>
        <v xml:space="preserve"> </v>
      </c>
      <c r="I32" s="70" t="str">
        <f ca="1">IFERROR(IF(AND(C5&lt;&gt;C32,ISNUMBER(H32)),INDEX('1.Locations'!I2:I32,C32 + 1) + MAX(H32,INDEX('1.Locations'!F2:F32,C32 + 1))," ")," ")</f>
        <v xml:space="preserve"> </v>
      </c>
      <c r="J32" s="69" t="str">
        <f ca="1">IFERROR(IF(C5 = C32, H32 - I5, I32 - I5)," ")</f>
        <v xml:space="preserve"> </v>
      </c>
      <c r="K32" s="67" t="str">
        <f ca="1">IFERROR(IF(ISNUMBER(C32),INDEX('1.Locations'!L2:L32,C32 + 1) + K31," ")," ")</f>
        <v xml:space="preserve"> </v>
      </c>
      <c r="L32" s="67" t="str">
        <f ca="1">IFERROR(IF(ISNUMBER(C32),INDEX('1.Locations'!J2:J32,C32 + 1)," ")," ")</f>
        <v xml:space="preserve"> </v>
      </c>
      <c r="M32" s="67" t="str">
        <f ca="1">IFERROR(IF(ISNUMBER(C32),INDEX('1.Locations'!K2:K32,C32 + 1)," ")," ")</f>
        <v xml:space="preserve"> </v>
      </c>
      <c r="N32" s="67" t="str">
        <f ca="1">IFERROR(IF(ISNUMBER(C32),SUM(L5:L32) + SUM(M33:M36)," ")," ")</f>
        <v xml:space="preserve"> </v>
      </c>
      <c r="P32" s="17">
        <v>27</v>
      </c>
      <c r="Q32" s="18"/>
      <c r="R32" s="67" t="str">
        <f ca="1">IFERROR(MATCH(INDIRECT("Q32"),'1.Locations'!B2:B32, 0) - 1," ")</f>
        <v xml:space="preserve"> </v>
      </c>
      <c r="S32" s="67" t="e">
        <f ca="1">IFERROR(IF(ISNUMBER(R32),INDEX('1.Locations'!D2:D32,R32 + 1),NA()),NA())</f>
        <v>#N/A</v>
      </c>
      <c r="T32" s="67" t="e">
        <f ca="1">IFERROR(IF(ISNUMBER(R32),INDEX('1.Locations'!E2:E32,R32 + 1),NA()),NA())</f>
        <v>#N/A</v>
      </c>
      <c r="U32" s="68" t="str">
        <f ca="1">IFERROR(IF(ISNUMBER(R32),INDEX('2.Distances'!C2:C962,R31*31+R32+ 1) +U31," ")," ")</f>
        <v xml:space="preserve"> </v>
      </c>
      <c r="V32" s="69" t="str">
        <f ca="1">IFERROR(IF(ISNUMBER(R32),INDEX('2.Distances'!D2:D962,R31*31+R32 + 1) +V31," ")," ")</f>
        <v xml:space="preserve"> </v>
      </c>
      <c r="W32" s="70" t="str">
        <f ca="1">IFERROR(IF(ISNUMBER(R32),INDEX('2.Distances'!D2:D962,R31*31+R32 + 1) +X31," ")," ")</f>
        <v xml:space="preserve"> </v>
      </c>
      <c r="X32" s="70" t="str">
        <f ca="1">IFERROR(IF(AND(R5&lt;&gt;R32,ISNUMBER(W32)),INDEX('1.Locations'!I2:I32,R32 + 1) + MAX(W32,INDEX('1.Locations'!F2:F32,R32 + 1))," ")," ")</f>
        <v xml:space="preserve"> </v>
      </c>
      <c r="Y32" s="69" t="str">
        <f ca="1">IFERROR(IF(R5 = R32, W32 - X5, X32 - X5)," ")</f>
        <v xml:space="preserve"> </v>
      </c>
      <c r="Z32" s="67" t="str">
        <f ca="1">IFERROR(IF(ISNUMBER(R32),INDEX('1.Locations'!L2:L32,R32 + 1) + Z31," ")," ")</f>
        <v xml:space="preserve"> </v>
      </c>
      <c r="AA32" s="67" t="str">
        <f ca="1">IFERROR(IF(ISNUMBER(R32),INDEX('1.Locations'!J2:J32,R32 + 1)," ")," ")</f>
        <v xml:space="preserve"> </v>
      </c>
      <c r="AB32" s="67" t="str">
        <f ca="1">IFERROR(IF(ISNUMBER(R32),INDEX('1.Locations'!K2:K32,R32 + 1)," ")," ")</f>
        <v xml:space="preserve"> </v>
      </c>
      <c r="AC32" s="67" t="str">
        <f ca="1">IFERROR(IF(ISNUMBER(R32),SUM(AA5:AA32) + SUM(AB33:AB36)," ")," ")</f>
        <v xml:space="preserve"> </v>
      </c>
      <c r="AE32" s="17">
        <v>27</v>
      </c>
      <c r="AF32" s="18"/>
      <c r="AG32" s="67" t="str">
        <f ca="1">IFERROR(MATCH(INDIRECT("AF32"),'1.Locations'!B2:B32, 0) - 1," ")</f>
        <v xml:space="preserve"> </v>
      </c>
      <c r="AH32" s="67" t="e">
        <f ca="1">IFERROR(IF(ISNUMBER(AG32),INDEX('1.Locations'!D2:D32,AG32 + 1),NA()),NA())</f>
        <v>#N/A</v>
      </c>
      <c r="AI32" s="67" t="e">
        <f ca="1">IFERROR(IF(ISNUMBER(AG32),INDEX('1.Locations'!E2:E32,AG32 + 1),NA()),NA())</f>
        <v>#N/A</v>
      </c>
      <c r="AJ32" s="68" t="str">
        <f ca="1">IFERROR(IF(ISNUMBER(AG32),INDEX('2.Distances'!C2:C962,AG31*31+AG32+ 1) +AJ31," ")," ")</f>
        <v xml:space="preserve"> </v>
      </c>
      <c r="AK32" s="69" t="str">
        <f ca="1">IFERROR(IF(ISNUMBER(AG32),INDEX('2.Distances'!D2:D962,AG31*31+AG32 + 1) +AK31," ")," ")</f>
        <v xml:space="preserve"> </v>
      </c>
      <c r="AL32" s="70" t="str">
        <f ca="1">IFERROR(IF(ISNUMBER(AG32),INDEX('2.Distances'!D2:D962,AG31*31+AG32 + 1) +AM31," ")," ")</f>
        <v xml:space="preserve"> </v>
      </c>
      <c r="AM32" s="70" t="str">
        <f ca="1">IFERROR(IF(AND(AG5&lt;&gt;AG32,ISNUMBER(AL32)),INDEX('1.Locations'!I2:I32,AG32 + 1) + MAX(AL32,INDEX('1.Locations'!F2:F32,AG32 + 1))," ")," ")</f>
        <v xml:space="preserve"> </v>
      </c>
      <c r="AN32" s="69" t="str">
        <f ca="1">IFERROR(IF(AG5 = AG32, AL32 - AM5, AM32 - AM5)," ")</f>
        <v xml:space="preserve"> </v>
      </c>
      <c r="AO32" s="67" t="str">
        <f ca="1">IFERROR(IF(ISNUMBER(AG32),INDEX('1.Locations'!L2:L32,AG32 + 1) + AO31," ")," ")</f>
        <v xml:space="preserve"> </v>
      </c>
      <c r="AP32" s="67" t="str">
        <f ca="1">IFERROR(IF(ISNUMBER(AG32),INDEX('1.Locations'!J2:J32,AG32 + 1)," ")," ")</f>
        <v xml:space="preserve"> </v>
      </c>
      <c r="AQ32" s="67" t="str">
        <f ca="1">IFERROR(IF(ISNUMBER(AG32),INDEX('1.Locations'!K2:K32,AG32 + 1)," ")," ")</f>
        <v xml:space="preserve"> </v>
      </c>
      <c r="AR32" s="67" t="str">
        <f ca="1">IFERROR(IF(ISNUMBER(AG32),SUM(AP5:AP32) + SUM(AQ33:AQ36)," ")," ")</f>
        <v xml:space="preserve"> </v>
      </c>
      <c r="AT32" s="17">
        <v>27</v>
      </c>
      <c r="AU32" s="18"/>
      <c r="AV32" s="67" t="str">
        <f ca="1">IFERROR(MATCH(INDIRECT("AU32"),'1.Locations'!B2:B32, 0) - 1," ")</f>
        <v xml:space="preserve"> </v>
      </c>
      <c r="AW32" s="67" t="e">
        <f ca="1">IFERROR(IF(ISNUMBER(AV32),INDEX('1.Locations'!D2:D32,AV32 + 1),NA()),NA())</f>
        <v>#N/A</v>
      </c>
      <c r="AX32" s="67" t="e">
        <f ca="1">IFERROR(IF(ISNUMBER(AV32),INDEX('1.Locations'!E2:E32,AV32 + 1),NA()),NA())</f>
        <v>#N/A</v>
      </c>
      <c r="AY32" s="68" t="str">
        <f ca="1">IFERROR(IF(ISNUMBER(AV32),INDEX('2.Distances'!C2:C962,AV31*31+AV32+ 1) +AY31," ")," ")</f>
        <v xml:space="preserve"> </v>
      </c>
      <c r="AZ32" s="69" t="str">
        <f ca="1">IFERROR(IF(ISNUMBER(AV32),INDEX('2.Distances'!D2:D962,AV31*31+AV32 + 1) +AZ31," ")," ")</f>
        <v xml:space="preserve"> </v>
      </c>
      <c r="BA32" s="70" t="str">
        <f ca="1">IFERROR(IF(ISNUMBER(AV32),INDEX('2.Distances'!D2:D962,AV31*31+AV32 + 1) +BB31," ")," ")</f>
        <v xml:space="preserve"> </v>
      </c>
      <c r="BB32" s="70" t="str">
        <f ca="1">IFERROR(IF(AND(AV5&lt;&gt;AV32,ISNUMBER(BA32)),INDEX('1.Locations'!I2:I32,AV32 + 1) + MAX(BA32,INDEX('1.Locations'!F2:F32,AV32 + 1))," ")," ")</f>
        <v xml:space="preserve"> </v>
      </c>
      <c r="BC32" s="69" t="str">
        <f ca="1">IFERROR(IF(AV5 = AV32, BA32 - BB5, BB32 - BB5)," ")</f>
        <v xml:space="preserve"> </v>
      </c>
      <c r="BD32" s="67" t="str">
        <f ca="1">IFERROR(IF(ISNUMBER(AV32),INDEX('1.Locations'!L2:L32,AV32 + 1) + BD31," ")," ")</f>
        <v xml:space="preserve"> </v>
      </c>
      <c r="BE32" s="67" t="str">
        <f ca="1">IFERROR(IF(ISNUMBER(AV32),INDEX('1.Locations'!J2:J32,AV32 + 1)," ")," ")</f>
        <v xml:space="preserve"> </v>
      </c>
      <c r="BF32" s="67" t="str">
        <f ca="1">IFERROR(IF(ISNUMBER(AV32),INDEX('1.Locations'!K2:K32,AV32 + 1)," ")," ")</f>
        <v xml:space="preserve"> </v>
      </c>
      <c r="BG32" s="67" t="str">
        <f ca="1">IFERROR(IF(ISNUMBER(AV32),SUM(BE5:BE32) + SUM(BF33:BF36)," ")," ")</f>
        <v xml:space="preserve"> </v>
      </c>
      <c r="BI32" s="17">
        <v>27</v>
      </c>
      <c r="BJ32" s="18"/>
      <c r="BK32" s="67" t="str">
        <f ca="1">IFERROR(MATCH(INDIRECT("BJ32"),'1.Locations'!B2:B32, 0) - 1," ")</f>
        <v xml:space="preserve"> </v>
      </c>
      <c r="BL32" s="67" t="e">
        <f ca="1">IFERROR(IF(ISNUMBER(BK32),INDEX('1.Locations'!D2:D32,BK32 + 1),NA()),NA())</f>
        <v>#N/A</v>
      </c>
      <c r="BM32" s="67" t="e">
        <f ca="1">IFERROR(IF(ISNUMBER(BK32),INDEX('1.Locations'!E2:E32,BK32 + 1),NA()),NA())</f>
        <v>#N/A</v>
      </c>
      <c r="BN32" s="68" t="str">
        <f ca="1">IFERROR(IF(ISNUMBER(BK32),INDEX('2.Distances'!C2:C962,BK31*31+BK32+ 1) +BN31," ")," ")</f>
        <v xml:space="preserve"> </v>
      </c>
      <c r="BO32" s="69" t="str">
        <f ca="1">IFERROR(IF(ISNUMBER(BK32),INDEX('2.Distances'!D2:D962,BK31*31+BK32 + 1) +BO31," ")," ")</f>
        <v xml:space="preserve"> </v>
      </c>
      <c r="BP32" s="70" t="str">
        <f ca="1">IFERROR(IF(ISNUMBER(BK32),INDEX('2.Distances'!D2:D962,BK31*31+BK32 + 1) +BQ31," ")," ")</f>
        <v xml:space="preserve"> </v>
      </c>
      <c r="BQ32" s="70" t="str">
        <f ca="1">IFERROR(IF(AND(BK5&lt;&gt;BK32,ISNUMBER(BP32)),INDEX('1.Locations'!I2:I32,BK32 + 1) + MAX(BP32,INDEX('1.Locations'!F2:F32,BK32 + 1))," ")," ")</f>
        <v xml:space="preserve"> </v>
      </c>
      <c r="BR32" s="69" t="str">
        <f ca="1">IFERROR(IF(BK5 = BK32, BP32 - BQ5, BQ32 - BQ5)," ")</f>
        <v xml:space="preserve"> </v>
      </c>
      <c r="BS32" s="67" t="str">
        <f ca="1">IFERROR(IF(ISNUMBER(BK32),INDEX('1.Locations'!L2:L32,BK32 + 1) + BS31," ")," ")</f>
        <v xml:space="preserve"> </v>
      </c>
      <c r="BT32" s="67" t="str">
        <f ca="1">IFERROR(IF(ISNUMBER(BK32),INDEX('1.Locations'!J2:J32,BK32 + 1)," ")," ")</f>
        <v xml:space="preserve"> </v>
      </c>
      <c r="BU32" s="67" t="str">
        <f ca="1">IFERROR(IF(ISNUMBER(BK32),INDEX('1.Locations'!K2:K32,BK32 + 1)," ")," ")</f>
        <v xml:space="preserve"> </v>
      </c>
      <c r="BV32" s="67" t="str">
        <f ca="1">IFERROR(IF(ISNUMBER(BK32),SUM(BT5:BT32) + SUM(BU33:BU36)," ")," ")</f>
        <v xml:space="preserve"> </v>
      </c>
      <c r="BX32" s="17">
        <v>27</v>
      </c>
      <c r="BY32" s="18"/>
      <c r="BZ32" s="67" t="str">
        <f ca="1">IFERROR(MATCH(INDIRECT("BY32"),'1.Locations'!B2:B32, 0) - 1," ")</f>
        <v xml:space="preserve"> </v>
      </c>
      <c r="CA32" s="67" t="e">
        <f ca="1">IFERROR(IF(ISNUMBER(BZ32),INDEX('1.Locations'!D2:D32,BZ32 + 1),NA()),NA())</f>
        <v>#N/A</v>
      </c>
      <c r="CB32" s="67" t="e">
        <f ca="1">IFERROR(IF(ISNUMBER(BZ32),INDEX('1.Locations'!E2:E32,BZ32 + 1),NA()),NA())</f>
        <v>#N/A</v>
      </c>
      <c r="CC32" s="68" t="str">
        <f ca="1">IFERROR(IF(ISNUMBER(BZ32),INDEX('2.Distances'!C2:C962,BZ31*31+BZ32+ 1) +CC31," ")," ")</f>
        <v xml:space="preserve"> </v>
      </c>
      <c r="CD32" s="69" t="str">
        <f ca="1">IFERROR(IF(ISNUMBER(BZ32),INDEX('2.Distances'!D2:D962,BZ31*31+BZ32 + 1) +CD31," ")," ")</f>
        <v xml:space="preserve"> </v>
      </c>
      <c r="CE32" s="70" t="str">
        <f ca="1">IFERROR(IF(ISNUMBER(BZ32),INDEX('2.Distances'!D2:D962,BZ31*31+BZ32 + 1) +CF31," ")," ")</f>
        <v xml:space="preserve"> </v>
      </c>
      <c r="CF32" s="70" t="str">
        <f ca="1">IFERROR(IF(AND(BZ5&lt;&gt;BZ32,ISNUMBER(CE32)),INDEX('1.Locations'!I2:I32,BZ32 + 1) + MAX(CE32,INDEX('1.Locations'!F2:F32,BZ32 + 1))," ")," ")</f>
        <v xml:space="preserve"> </v>
      </c>
      <c r="CG32" s="69" t="str">
        <f ca="1">IFERROR(IF(BZ5 = BZ32, CE32 - CF5, CF32 - CF5)," ")</f>
        <v xml:space="preserve"> </v>
      </c>
      <c r="CH32" s="67" t="str">
        <f ca="1">IFERROR(IF(ISNUMBER(BZ32),INDEX('1.Locations'!L2:L32,BZ32 + 1) + CH31," ")," ")</f>
        <v xml:space="preserve"> </v>
      </c>
      <c r="CI32" s="67" t="str">
        <f ca="1">IFERROR(IF(ISNUMBER(BZ32),INDEX('1.Locations'!J2:J32,BZ32 + 1)," ")," ")</f>
        <v xml:space="preserve"> </v>
      </c>
      <c r="CJ32" s="67" t="str">
        <f ca="1">IFERROR(IF(ISNUMBER(BZ32),INDEX('1.Locations'!K2:K32,BZ32 + 1)," ")," ")</f>
        <v xml:space="preserve"> </v>
      </c>
      <c r="CK32" s="67" t="str">
        <f ca="1">IFERROR(IF(ISNUMBER(BZ32),SUM(CI5:CI32) + SUM(CJ33:CJ36)," ")," ")</f>
        <v xml:space="preserve"> </v>
      </c>
      <c r="CM32" s="17">
        <v>27</v>
      </c>
      <c r="CN32" s="18"/>
      <c r="CO32" s="67" t="str">
        <f ca="1">IFERROR(MATCH(INDIRECT("CN32"),'1.Locations'!B2:B32, 0) - 1," ")</f>
        <v xml:space="preserve"> </v>
      </c>
      <c r="CP32" s="67" t="e">
        <f ca="1">IFERROR(IF(ISNUMBER(CO32),INDEX('1.Locations'!D2:D32,CO32 + 1),NA()),NA())</f>
        <v>#N/A</v>
      </c>
      <c r="CQ32" s="67" t="e">
        <f ca="1">IFERROR(IF(ISNUMBER(CO32),INDEX('1.Locations'!E2:E32,CO32 + 1),NA()),NA())</f>
        <v>#N/A</v>
      </c>
      <c r="CR32" s="68" t="str">
        <f ca="1">IFERROR(IF(ISNUMBER(CO32),INDEX('2.Distances'!C2:C962,CO31*31+CO32+ 1) +CR31," ")," ")</f>
        <v xml:space="preserve"> </v>
      </c>
      <c r="CS32" s="69" t="str">
        <f ca="1">IFERROR(IF(ISNUMBER(CO32),INDEX('2.Distances'!D2:D962,CO31*31+CO32 + 1) +CS31," ")," ")</f>
        <v xml:space="preserve"> </v>
      </c>
      <c r="CT32" s="70" t="str">
        <f ca="1">IFERROR(IF(ISNUMBER(CO32),INDEX('2.Distances'!D2:D962,CO31*31+CO32 + 1) +CU31," ")," ")</f>
        <v xml:space="preserve"> </v>
      </c>
      <c r="CU32" s="70" t="str">
        <f ca="1">IFERROR(IF(AND(CO5&lt;&gt;CO32,ISNUMBER(CT32)),INDEX('1.Locations'!I2:I32,CO32 + 1) + MAX(CT32,INDEX('1.Locations'!F2:F32,CO32 + 1))," ")," ")</f>
        <v xml:space="preserve"> </v>
      </c>
      <c r="CV32" s="69" t="str">
        <f ca="1">IFERROR(IF(CO5 = CO32, CT32 - CU5, CU32 - CU5)," ")</f>
        <v xml:space="preserve"> </v>
      </c>
      <c r="CW32" s="67" t="str">
        <f ca="1">IFERROR(IF(ISNUMBER(CO32),INDEX('1.Locations'!L2:L32,CO32 + 1) + CW31," ")," ")</f>
        <v xml:space="preserve"> </v>
      </c>
      <c r="CX32" s="67" t="str">
        <f ca="1">IFERROR(IF(ISNUMBER(CO32),INDEX('1.Locations'!J2:J32,CO32 + 1)," ")," ")</f>
        <v xml:space="preserve"> </v>
      </c>
      <c r="CY32" s="67" t="str">
        <f ca="1">IFERROR(IF(ISNUMBER(CO32),INDEX('1.Locations'!K2:K32,CO32 + 1)," ")," ")</f>
        <v xml:space="preserve"> </v>
      </c>
      <c r="CZ32" s="67" t="str">
        <f ca="1">IFERROR(IF(ISNUMBER(CO32),SUM(CX5:CX32) + SUM(CY33:CY36)," ")," ")</f>
        <v xml:space="preserve"> </v>
      </c>
      <c r="DB32" s="17">
        <v>27</v>
      </c>
      <c r="DC32" s="18"/>
      <c r="DD32" s="67" t="str">
        <f ca="1">IFERROR(MATCH(INDIRECT("DC32"),'1.Locations'!B2:B32, 0) - 1," ")</f>
        <v xml:space="preserve"> </v>
      </c>
      <c r="DE32" s="67" t="e">
        <f ca="1">IFERROR(IF(ISNUMBER(DD32),INDEX('1.Locations'!D2:D32,DD32 + 1),NA()),NA())</f>
        <v>#N/A</v>
      </c>
      <c r="DF32" s="67" t="e">
        <f ca="1">IFERROR(IF(ISNUMBER(DD32),INDEX('1.Locations'!E2:E32,DD32 + 1),NA()),NA())</f>
        <v>#N/A</v>
      </c>
      <c r="DG32" s="68" t="str">
        <f ca="1">IFERROR(IF(ISNUMBER(DD32),INDEX('2.Distances'!C2:C962,DD31*31+DD32+ 1) +DG31," ")," ")</f>
        <v xml:space="preserve"> </v>
      </c>
      <c r="DH32" s="69" t="str">
        <f ca="1">IFERROR(IF(ISNUMBER(DD32),INDEX('2.Distances'!D2:D962,DD31*31+DD32 + 1) +DH31," ")," ")</f>
        <v xml:space="preserve"> </v>
      </c>
      <c r="DI32" s="70" t="str">
        <f ca="1">IFERROR(IF(ISNUMBER(DD32),INDEX('2.Distances'!D2:D962,DD31*31+DD32 + 1) +DJ31," ")," ")</f>
        <v xml:space="preserve"> </v>
      </c>
      <c r="DJ32" s="70" t="str">
        <f ca="1">IFERROR(IF(AND(DD5&lt;&gt;DD32,ISNUMBER(DI32)),INDEX('1.Locations'!I2:I32,DD32 + 1) + MAX(DI32,INDEX('1.Locations'!F2:F32,DD32 + 1))," ")," ")</f>
        <v xml:space="preserve"> </v>
      </c>
      <c r="DK32" s="69" t="str">
        <f ca="1">IFERROR(IF(DD5 = DD32, DI32 - DJ5, DJ32 - DJ5)," ")</f>
        <v xml:space="preserve"> </v>
      </c>
      <c r="DL32" s="67" t="str">
        <f ca="1">IFERROR(IF(ISNUMBER(DD32),INDEX('1.Locations'!L2:L32,DD32 + 1) + DL31," ")," ")</f>
        <v xml:space="preserve"> </v>
      </c>
      <c r="DM32" s="67" t="str">
        <f ca="1">IFERROR(IF(ISNUMBER(DD32),INDEX('1.Locations'!J2:J32,DD32 + 1)," ")," ")</f>
        <v xml:space="preserve"> </v>
      </c>
      <c r="DN32" s="67" t="str">
        <f ca="1">IFERROR(IF(ISNUMBER(DD32),INDEX('1.Locations'!K2:K32,DD32 + 1)," ")," ")</f>
        <v xml:space="preserve"> </v>
      </c>
      <c r="DO32" s="67" t="str">
        <f ca="1">IFERROR(IF(ISNUMBER(DD32),SUM(DM5:DM32) + SUM(DN33:DN36)," ")," ")</f>
        <v xml:space="preserve"> </v>
      </c>
      <c r="DQ32" s="17">
        <v>27</v>
      </c>
      <c r="DR32" s="18"/>
      <c r="DS32" s="67" t="str">
        <f ca="1">IFERROR(MATCH(INDIRECT("DR32"),'1.Locations'!B2:B32, 0) - 1," ")</f>
        <v xml:space="preserve"> </v>
      </c>
      <c r="DT32" s="67" t="e">
        <f ca="1">IFERROR(IF(ISNUMBER(DS32),INDEX('1.Locations'!D2:D32,DS32 + 1),NA()),NA())</f>
        <v>#N/A</v>
      </c>
      <c r="DU32" s="67" t="e">
        <f ca="1">IFERROR(IF(ISNUMBER(DS32),INDEX('1.Locations'!E2:E32,DS32 + 1),NA()),NA())</f>
        <v>#N/A</v>
      </c>
      <c r="DV32" s="68" t="str">
        <f ca="1">IFERROR(IF(ISNUMBER(DS32),INDEX('2.Distances'!C2:C962,DS31*31+DS32+ 1) +DV31," ")," ")</f>
        <v xml:space="preserve"> </v>
      </c>
      <c r="DW32" s="69" t="str">
        <f ca="1">IFERROR(IF(ISNUMBER(DS32),INDEX('2.Distances'!D2:D962,DS31*31+DS32 + 1) +DW31," ")," ")</f>
        <v xml:space="preserve"> </v>
      </c>
      <c r="DX32" s="70" t="str">
        <f ca="1">IFERROR(IF(ISNUMBER(DS32),INDEX('2.Distances'!D2:D962,DS31*31+DS32 + 1) +DY31," ")," ")</f>
        <v xml:space="preserve"> </v>
      </c>
      <c r="DY32" s="70" t="str">
        <f ca="1">IFERROR(IF(AND(DS5&lt;&gt;DS32,ISNUMBER(DX32)),INDEX('1.Locations'!I2:I32,DS32 + 1) + MAX(DX32,INDEX('1.Locations'!F2:F32,DS32 + 1))," ")," ")</f>
        <v xml:space="preserve"> </v>
      </c>
      <c r="DZ32" s="69" t="str">
        <f ca="1">IFERROR(IF(DS5 = DS32, DX32 - DY5, DY32 - DY5)," ")</f>
        <v xml:space="preserve"> </v>
      </c>
      <c r="EA32" s="67" t="str">
        <f ca="1">IFERROR(IF(ISNUMBER(DS32),INDEX('1.Locations'!L2:L32,DS32 + 1) + EA31," ")," ")</f>
        <v xml:space="preserve"> </v>
      </c>
      <c r="EB32" s="67" t="str">
        <f ca="1">IFERROR(IF(ISNUMBER(DS32),INDEX('1.Locations'!J2:J32,DS32 + 1)," ")," ")</f>
        <v xml:space="preserve"> </v>
      </c>
      <c r="EC32" s="67" t="str">
        <f ca="1">IFERROR(IF(ISNUMBER(DS32),INDEX('1.Locations'!K2:K32,DS32 + 1)," ")," ")</f>
        <v xml:space="preserve"> </v>
      </c>
      <c r="ED32" s="67" t="str">
        <f ca="1">IFERROR(IF(ISNUMBER(DS32),SUM(EB5:EB32) + SUM(EC33:EC36)," ")," ")</f>
        <v xml:space="preserve"> </v>
      </c>
      <c r="EF32" s="17">
        <v>27</v>
      </c>
      <c r="EG32" s="18"/>
      <c r="EH32" s="67" t="str">
        <f ca="1">IFERROR(MATCH(INDIRECT("EG32"),'1.Locations'!B2:B32, 0) - 1," ")</f>
        <v xml:space="preserve"> </v>
      </c>
      <c r="EI32" s="67" t="e">
        <f ca="1">IFERROR(IF(ISNUMBER(EH32),INDEX('1.Locations'!D2:D32,EH32 + 1),NA()),NA())</f>
        <v>#N/A</v>
      </c>
      <c r="EJ32" s="67" t="e">
        <f ca="1">IFERROR(IF(ISNUMBER(EH32),INDEX('1.Locations'!E2:E32,EH32 + 1),NA()),NA())</f>
        <v>#N/A</v>
      </c>
      <c r="EK32" s="68" t="str">
        <f ca="1">IFERROR(IF(ISNUMBER(EH32),INDEX('2.Distances'!C2:C962,EH31*31+EH32+ 1) +EK31," ")," ")</f>
        <v xml:space="preserve"> </v>
      </c>
      <c r="EL32" s="69" t="str">
        <f ca="1">IFERROR(IF(ISNUMBER(EH32),INDEX('2.Distances'!D2:D962,EH31*31+EH32 + 1) +EL31," ")," ")</f>
        <v xml:space="preserve"> </v>
      </c>
      <c r="EM32" s="70" t="str">
        <f ca="1">IFERROR(IF(ISNUMBER(EH32),INDEX('2.Distances'!D2:D962,EH31*31+EH32 + 1) +EN31," ")," ")</f>
        <v xml:space="preserve"> </v>
      </c>
      <c r="EN32" s="70" t="str">
        <f ca="1">IFERROR(IF(AND(EH5&lt;&gt;EH32,ISNUMBER(EM32)),INDEX('1.Locations'!I2:I32,EH32 + 1) + MAX(EM32,INDEX('1.Locations'!F2:F32,EH32 + 1))," ")," ")</f>
        <v xml:space="preserve"> </v>
      </c>
      <c r="EO32" s="69" t="str">
        <f ca="1">IFERROR(IF(EH5 = EH32, EM32 - EN5, EN32 - EN5)," ")</f>
        <v xml:space="preserve"> </v>
      </c>
      <c r="EP32" s="67" t="str">
        <f ca="1">IFERROR(IF(ISNUMBER(EH32),INDEX('1.Locations'!L2:L32,EH32 + 1) + EP31," ")," ")</f>
        <v xml:space="preserve"> </v>
      </c>
      <c r="EQ32" s="67" t="str">
        <f ca="1">IFERROR(IF(ISNUMBER(EH32),INDEX('1.Locations'!J2:J32,EH32 + 1)," ")," ")</f>
        <v xml:space="preserve"> </v>
      </c>
      <c r="ER32" s="67" t="str">
        <f ca="1">IFERROR(IF(ISNUMBER(EH32),INDEX('1.Locations'!K2:K32,EH32 + 1)," ")," ")</f>
        <v xml:space="preserve"> </v>
      </c>
      <c r="ES32" s="67" t="str">
        <f ca="1">IFERROR(IF(ISNUMBER(EH32),SUM(EQ5:EQ32) + SUM(ER33:ER36)," ")," ")</f>
        <v xml:space="preserve"> </v>
      </c>
    </row>
    <row r="33" spans="1:149" x14ac:dyDescent="0.25">
      <c r="A33" s="17">
        <v>28</v>
      </c>
      <c r="B33" s="21"/>
      <c r="C33" s="67" t="str">
        <f ca="1">IFERROR(MATCH(INDIRECT("B33"),'1.Locations'!B2:B32, 0) - 1," ")</f>
        <v xml:space="preserve"> </v>
      </c>
      <c r="D33" s="67" t="e">
        <f ca="1">IFERROR(IF(ISNUMBER(C33),INDEX('1.Locations'!D2:D32,C33 + 1),NA()),NA())</f>
        <v>#N/A</v>
      </c>
      <c r="E33" s="67" t="e">
        <f ca="1">IFERROR(IF(ISNUMBER(C33),INDEX('1.Locations'!E2:E32,C33 + 1),NA()),NA())</f>
        <v>#N/A</v>
      </c>
      <c r="F33" s="68" t="str">
        <f ca="1">IFERROR(IF(ISNUMBER(C33),INDEX('2.Distances'!C2:C962,C32*31+C33+ 1) +F32," ")," ")</f>
        <v xml:space="preserve"> </v>
      </c>
      <c r="G33" s="69" t="str">
        <f ca="1">IFERROR(IF(ISNUMBER(C33),INDEX('2.Distances'!D2:D962,C32*31+C33 + 1) +G32," ")," ")</f>
        <v xml:space="preserve"> </v>
      </c>
      <c r="H33" s="70" t="str">
        <f ca="1">IFERROR(IF(ISNUMBER(C33),INDEX('2.Distances'!D2:D962,C32*31+C33 + 1) +I32," ")," ")</f>
        <v xml:space="preserve"> </v>
      </c>
      <c r="I33" s="70" t="str">
        <f ca="1">IFERROR(IF(AND(C5&lt;&gt;C33,ISNUMBER(H33)),INDEX('1.Locations'!I2:I32,C33 + 1) + MAX(H33,INDEX('1.Locations'!F2:F32,C33 + 1))," ")," ")</f>
        <v xml:space="preserve"> </v>
      </c>
      <c r="J33" s="69" t="str">
        <f ca="1">IFERROR(IF(C5 = C33, H33 - I5, I33 - I5)," ")</f>
        <v xml:space="preserve"> </v>
      </c>
      <c r="K33" s="67" t="str">
        <f ca="1">IFERROR(IF(ISNUMBER(C33),INDEX('1.Locations'!L2:L32,C33 + 1) + K32," ")," ")</f>
        <v xml:space="preserve"> </v>
      </c>
      <c r="L33" s="67" t="str">
        <f ca="1">IFERROR(IF(ISNUMBER(C33),INDEX('1.Locations'!J2:J32,C33 + 1)," ")," ")</f>
        <v xml:space="preserve"> </v>
      </c>
      <c r="M33" s="67" t="str">
        <f ca="1">IFERROR(IF(ISNUMBER(C33),INDEX('1.Locations'!K2:K32,C33 + 1)," ")," ")</f>
        <v xml:space="preserve"> </v>
      </c>
      <c r="N33" s="67" t="str">
        <f ca="1">IFERROR(IF(ISNUMBER(C33),SUM(L5:L33) + SUM(M34:M36)," ")," ")</f>
        <v xml:space="preserve"> </v>
      </c>
      <c r="P33" s="17">
        <v>28</v>
      </c>
      <c r="Q33" s="21"/>
      <c r="R33" s="67" t="str">
        <f ca="1">IFERROR(MATCH(INDIRECT("Q33"),'1.Locations'!B2:B32, 0) - 1," ")</f>
        <v xml:space="preserve"> </v>
      </c>
      <c r="S33" s="67" t="e">
        <f ca="1">IFERROR(IF(ISNUMBER(R33),INDEX('1.Locations'!D2:D32,R33 + 1),NA()),NA())</f>
        <v>#N/A</v>
      </c>
      <c r="T33" s="67" t="e">
        <f ca="1">IFERROR(IF(ISNUMBER(R33),INDEX('1.Locations'!E2:E32,R33 + 1),NA()),NA())</f>
        <v>#N/A</v>
      </c>
      <c r="U33" s="68" t="str">
        <f ca="1">IFERROR(IF(ISNUMBER(R33),INDEX('2.Distances'!C2:C962,R32*31+R33+ 1) +U32," ")," ")</f>
        <v xml:space="preserve"> </v>
      </c>
      <c r="V33" s="69" t="str">
        <f ca="1">IFERROR(IF(ISNUMBER(R33),INDEX('2.Distances'!D2:D962,R32*31+R33 + 1) +V32," ")," ")</f>
        <v xml:space="preserve"> </v>
      </c>
      <c r="W33" s="70" t="str">
        <f ca="1">IFERROR(IF(ISNUMBER(R33),INDEX('2.Distances'!D2:D962,R32*31+R33 + 1) +X32," ")," ")</f>
        <v xml:space="preserve"> </v>
      </c>
      <c r="X33" s="70" t="str">
        <f ca="1">IFERROR(IF(AND(R5&lt;&gt;R33,ISNUMBER(W33)),INDEX('1.Locations'!I2:I32,R33 + 1) + MAX(W33,INDEX('1.Locations'!F2:F32,R33 + 1))," ")," ")</f>
        <v xml:space="preserve"> </v>
      </c>
      <c r="Y33" s="69" t="str">
        <f ca="1">IFERROR(IF(R5 = R33, W33 - X5, X33 - X5)," ")</f>
        <v xml:space="preserve"> </v>
      </c>
      <c r="Z33" s="67" t="str">
        <f ca="1">IFERROR(IF(ISNUMBER(R33),INDEX('1.Locations'!L2:L32,R33 + 1) + Z32," ")," ")</f>
        <v xml:space="preserve"> </v>
      </c>
      <c r="AA33" s="67" t="str">
        <f ca="1">IFERROR(IF(ISNUMBER(R33),INDEX('1.Locations'!J2:J32,R33 + 1)," ")," ")</f>
        <v xml:space="preserve"> </v>
      </c>
      <c r="AB33" s="67" t="str">
        <f ca="1">IFERROR(IF(ISNUMBER(R33),INDEX('1.Locations'!K2:K32,R33 + 1)," ")," ")</f>
        <v xml:space="preserve"> </v>
      </c>
      <c r="AC33" s="67" t="str">
        <f ca="1">IFERROR(IF(ISNUMBER(R33),SUM(AA5:AA33) + SUM(AB34:AB36)," ")," ")</f>
        <v xml:space="preserve"> </v>
      </c>
      <c r="AE33" s="17">
        <v>28</v>
      </c>
      <c r="AF33" s="21"/>
      <c r="AG33" s="67" t="str">
        <f ca="1">IFERROR(MATCH(INDIRECT("AF33"),'1.Locations'!B2:B32, 0) - 1," ")</f>
        <v xml:space="preserve"> </v>
      </c>
      <c r="AH33" s="67" t="e">
        <f ca="1">IFERROR(IF(ISNUMBER(AG33),INDEX('1.Locations'!D2:D32,AG33 + 1),NA()),NA())</f>
        <v>#N/A</v>
      </c>
      <c r="AI33" s="67" t="e">
        <f ca="1">IFERROR(IF(ISNUMBER(AG33),INDEX('1.Locations'!E2:E32,AG33 + 1),NA()),NA())</f>
        <v>#N/A</v>
      </c>
      <c r="AJ33" s="68" t="str">
        <f ca="1">IFERROR(IF(ISNUMBER(AG33),INDEX('2.Distances'!C2:C962,AG32*31+AG33+ 1) +AJ32," ")," ")</f>
        <v xml:space="preserve"> </v>
      </c>
      <c r="AK33" s="69" t="str">
        <f ca="1">IFERROR(IF(ISNUMBER(AG33),INDEX('2.Distances'!D2:D962,AG32*31+AG33 + 1) +AK32," ")," ")</f>
        <v xml:space="preserve"> </v>
      </c>
      <c r="AL33" s="70" t="str">
        <f ca="1">IFERROR(IF(ISNUMBER(AG33),INDEX('2.Distances'!D2:D962,AG32*31+AG33 + 1) +AM32," ")," ")</f>
        <v xml:space="preserve"> </v>
      </c>
      <c r="AM33" s="70" t="str">
        <f ca="1">IFERROR(IF(AND(AG5&lt;&gt;AG33,ISNUMBER(AL33)),INDEX('1.Locations'!I2:I32,AG33 + 1) + MAX(AL33,INDEX('1.Locations'!F2:F32,AG33 + 1))," ")," ")</f>
        <v xml:space="preserve"> </v>
      </c>
      <c r="AN33" s="69" t="str">
        <f ca="1">IFERROR(IF(AG5 = AG33, AL33 - AM5, AM33 - AM5)," ")</f>
        <v xml:space="preserve"> </v>
      </c>
      <c r="AO33" s="67" t="str">
        <f ca="1">IFERROR(IF(ISNUMBER(AG33),INDEX('1.Locations'!L2:L32,AG33 + 1) + AO32," ")," ")</f>
        <v xml:space="preserve"> </v>
      </c>
      <c r="AP33" s="67" t="str">
        <f ca="1">IFERROR(IF(ISNUMBER(AG33),INDEX('1.Locations'!J2:J32,AG33 + 1)," ")," ")</f>
        <v xml:space="preserve"> </v>
      </c>
      <c r="AQ33" s="67" t="str">
        <f ca="1">IFERROR(IF(ISNUMBER(AG33),INDEX('1.Locations'!K2:K32,AG33 + 1)," ")," ")</f>
        <v xml:space="preserve"> </v>
      </c>
      <c r="AR33" s="67" t="str">
        <f ca="1">IFERROR(IF(ISNUMBER(AG33),SUM(AP5:AP33) + SUM(AQ34:AQ36)," ")," ")</f>
        <v xml:space="preserve"> </v>
      </c>
      <c r="AT33" s="17">
        <v>28</v>
      </c>
      <c r="AU33" s="21"/>
      <c r="AV33" s="67" t="str">
        <f ca="1">IFERROR(MATCH(INDIRECT("AU33"),'1.Locations'!B2:B32, 0) - 1," ")</f>
        <v xml:space="preserve"> </v>
      </c>
      <c r="AW33" s="67" t="e">
        <f ca="1">IFERROR(IF(ISNUMBER(AV33),INDEX('1.Locations'!D2:D32,AV33 + 1),NA()),NA())</f>
        <v>#N/A</v>
      </c>
      <c r="AX33" s="67" t="e">
        <f ca="1">IFERROR(IF(ISNUMBER(AV33),INDEX('1.Locations'!E2:E32,AV33 + 1),NA()),NA())</f>
        <v>#N/A</v>
      </c>
      <c r="AY33" s="68" t="str">
        <f ca="1">IFERROR(IF(ISNUMBER(AV33),INDEX('2.Distances'!C2:C962,AV32*31+AV33+ 1) +AY32," ")," ")</f>
        <v xml:space="preserve"> </v>
      </c>
      <c r="AZ33" s="69" t="str">
        <f ca="1">IFERROR(IF(ISNUMBER(AV33),INDEX('2.Distances'!D2:D962,AV32*31+AV33 + 1) +AZ32," ")," ")</f>
        <v xml:space="preserve"> </v>
      </c>
      <c r="BA33" s="70" t="str">
        <f ca="1">IFERROR(IF(ISNUMBER(AV33),INDEX('2.Distances'!D2:D962,AV32*31+AV33 + 1) +BB32," ")," ")</f>
        <v xml:space="preserve"> </v>
      </c>
      <c r="BB33" s="70" t="str">
        <f ca="1">IFERROR(IF(AND(AV5&lt;&gt;AV33,ISNUMBER(BA33)),INDEX('1.Locations'!I2:I32,AV33 + 1) + MAX(BA33,INDEX('1.Locations'!F2:F32,AV33 + 1))," ")," ")</f>
        <v xml:space="preserve"> </v>
      </c>
      <c r="BC33" s="69" t="str">
        <f ca="1">IFERROR(IF(AV5 = AV33, BA33 - BB5, BB33 - BB5)," ")</f>
        <v xml:space="preserve"> </v>
      </c>
      <c r="BD33" s="67" t="str">
        <f ca="1">IFERROR(IF(ISNUMBER(AV33),INDEX('1.Locations'!L2:L32,AV33 + 1) + BD32," ")," ")</f>
        <v xml:space="preserve"> </v>
      </c>
      <c r="BE33" s="67" t="str">
        <f ca="1">IFERROR(IF(ISNUMBER(AV33),INDEX('1.Locations'!J2:J32,AV33 + 1)," ")," ")</f>
        <v xml:space="preserve"> </v>
      </c>
      <c r="BF33" s="67" t="str">
        <f ca="1">IFERROR(IF(ISNUMBER(AV33),INDEX('1.Locations'!K2:K32,AV33 + 1)," ")," ")</f>
        <v xml:space="preserve"> </v>
      </c>
      <c r="BG33" s="67" t="str">
        <f ca="1">IFERROR(IF(ISNUMBER(AV33),SUM(BE5:BE33) + SUM(BF34:BF36)," ")," ")</f>
        <v xml:space="preserve"> </v>
      </c>
      <c r="BI33" s="17">
        <v>28</v>
      </c>
      <c r="BJ33" s="21"/>
      <c r="BK33" s="67" t="str">
        <f ca="1">IFERROR(MATCH(INDIRECT("BJ33"),'1.Locations'!B2:B32, 0) - 1," ")</f>
        <v xml:space="preserve"> </v>
      </c>
      <c r="BL33" s="67" t="e">
        <f ca="1">IFERROR(IF(ISNUMBER(BK33),INDEX('1.Locations'!D2:D32,BK33 + 1),NA()),NA())</f>
        <v>#N/A</v>
      </c>
      <c r="BM33" s="67" t="e">
        <f ca="1">IFERROR(IF(ISNUMBER(BK33),INDEX('1.Locations'!E2:E32,BK33 + 1),NA()),NA())</f>
        <v>#N/A</v>
      </c>
      <c r="BN33" s="68" t="str">
        <f ca="1">IFERROR(IF(ISNUMBER(BK33),INDEX('2.Distances'!C2:C962,BK32*31+BK33+ 1) +BN32," ")," ")</f>
        <v xml:space="preserve"> </v>
      </c>
      <c r="BO33" s="69" t="str">
        <f ca="1">IFERROR(IF(ISNUMBER(BK33),INDEX('2.Distances'!D2:D962,BK32*31+BK33 + 1) +BO32," ")," ")</f>
        <v xml:space="preserve"> </v>
      </c>
      <c r="BP33" s="70" t="str">
        <f ca="1">IFERROR(IF(ISNUMBER(BK33),INDEX('2.Distances'!D2:D962,BK32*31+BK33 + 1) +BQ32," ")," ")</f>
        <v xml:space="preserve"> </v>
      </c>
      <c r="BQ33" s="70" t="str">
        <f ca="1">IFERROR(IF(AND(BK5&lt;&gt;BK33,ISNUMBER(BP33)),INDEX('1.Locations'!I2:I32,BK33 + 1) + MAX(BP33,INDEX('1.Locations'!F2:F32,BK33 + 1))," ")," ")</f>
        <v xml:space="preserve"> </v>
      </c>
      <c r="BR33" s="69" t="str">
        <f ca="1">IFERROR(IF(BK5 = BK33, BP33 - BQ5, BQ33 - BQ5)," ")</f>
        <v xml:space="preserve"> </v>
      </c>
      <c r="BS33" s="67" t="str">
        <f ca="1">IFERROR(IF(ISNUMBER(BK33),INDEX('1.Locations'!L2:L32,BK33 + 1) + BS32," ")," ")</f>
        <v xml:space="preserve"> </v>
      </c>
      <c r="BT33" s="67" t="str">
        <f ca="1">IFERROR(IF(ISNUMBER(BK33),INDEX('1.Locations'!J2:J32,BK33 + 1)," ")," ")</f>
        <v xml:space="preserve"> </v>
      </c>
      <c r="BU33" s="67" t="str">
        <f ca="1">IFERROR(IF(ISNUMBER(BK33),INDEX('1.Locations'!K2:K32,BK33 + 1)," ")," ")</f>
        <v xml:space="preserve"> </v>
      </c>
      <c r="BV33" s="67" t="str">
        <f ca="1">IFERROR(IF(ISNUMBER(BK33),SUM(BT5:BT33) + SUM(BU34:BU36)," ")," ")</f>
        <v xml:space="preserve"> </v>
      </c>
      <c r="BX33" s="17">
        <v>28</v>
      </c>
      <c r="BY33" s="21"/>
      <c r="BZ33" s="67" t="str">
        <f ca="1">IFERROR(MATCH(INDIRECT("BY33"),'1.Locations'!B2:B32, 0) - 1," ")</f>
        <v xml:space="preserve"> </v>
      </c>
      <c r="CA33" s="67" t="e">
        <f ca="1">IFERROR(IF(ISNUMBER(BZ33),INDEX('1.Locations'!D2:D32,BZ33 + 1),NA()),NA())</f>
        <v>#N/A</v>
      </c>
      <c r="CB33" s="67" t="e">
        <f ca="1">IFERROR(IF(ISNUMBER(BZ33),INDEX('1.Locations'!E2:E32,BZ33 + 1),NA()),NA())</f>
        <v>#N/A</v>
      </c>
      <c r="CC33" s="68" t="str">
        <f ca="1">IFERROR(IF(ISNUMBER(BZ33),INDEX('2.Distances'!C2:C962,BZ32*31+BZ33+ 1) +CC32," ")," ")</f>
        <v xml:space="preserve"> </v>
      </c>
      <c r="CD33" s="69" t="str">
        <f ca="1">IFERROR(IF(ISNUMBER(BZ33),INDEX('2.Distances'!D2:D962,BZ32*31+BZ33 + 1) +CD32," ")," ")</f>
        <v xml:space="preserve"> </v>
      </c>
      <c r="CE33" s="70" t="str">
        <f ca="1">IFERROR(IF(ISNUMBER(BZ33),INDEX('2.Distances'!D2:D962,BZ32*31+BZ33 + 1) +CF32," ")," ")</f>
        <v xml:space="preserve"> </v>
      </c>
      <c r="CF33" s="70" t="str">
        <f ca="1">IFERROR(IF(AND(BZ5&lt;&gt;BZ33,ISNUMBER(CE33)),INDEX('1.Locations'!I2:I32,BZ33 + 1) + MAX(CE33,INDEX('1.Locations'!F2:F32,BZ33 + 1))," ")," ")</f>
        <v xml:space="preserve"> </v>
      </c>
      <c r="CG33" s="69" t="str">
        <f ca="1">IFERROR(IF(BZ5 = BZ33, CE33 - CF5, CF33 - CF5)," ")</f>
        <v xml:space="preserve"> </v>
      </c>
      <c r="CH33" s="67" t="str">
        <f ca="1">IFERROR(IF(ISNUMBER(BZ33),INDEX('1.Locations'!L2:L32,BZ33 + 1) + CH32," ")," ")</f>
        <v xml:space="preserve"> </v>
      </c>
      <c r="CI33" s="67" t="str">
        <f ca="1">IFERROR(IF(ISNUMBER(BZ33),INDEX('1.Locations'!J2:J32,BZ33 + 1)," ")," ")</f>
        <v xml:space="preserve"> </v>
      </c>
      <c r="CJ33" s="67" t="str">
        <f ca="1">IFERROR(IF(ISNUMBER(BZ33),INDEX('1.Locations'!K2:K32,BZ33 + 1)," ")," ")</f>
        <v xml:space="preserve"> </v>
      </c>
      <c r="CK33" s="67" t="str">
        <f ca="1">IFERROR(IF(ISNUMBER(BZ33),SUM(CI5:CI33) + SUM(CJ34:CJ36)," ")," ")</f>
        <v xml:space="preserve"> </v>
      </c>
      <c r="CM33" s="17">
        <v>28</v>
      </c>
      <c r="CN33" s="21"/>
      <c r="CO33" s="67" t="str">
        <f ca="1">IFERROR(MATCH(INDIRECT("CN33"),'1.Locations'!B2:B32, 0) - 1," ")</f>
        <v xml:space="preserve"> </v>
      </c>
      <c r="CP33" s="67" t="e">
        <f ca="1">IFERROR(IF(ISNUMBER(CO33),INDEX('1.Locations'!D2:D32,CO33 + 1),NA()),NA())</f>
        <v>#N/A</v>
      </c>
      <c r="CQ33" s="67" t="e">
        <f ca="1">IFERROR(IF(ISNUMBER(CO33),INDEX('1.Locations'!E2:E32,CO33 + 1),NA()),NA())</f>
        <v>#N/A</v>
      </c>
      <c r="CR33" s="68" t="str">
        <f ca="1">IFERROR(IF(ISNUMBER(CO33),INDEX('2.Distances'!C2:C962,CO32*31+CO33+ 1) +CR32," ")," ")</f>
        <v xml:space="preserve"> </v>
      </c>
      <c r="CS33" s="69" t="str">
        <f ca="1">IFERROR(IF(ISNUMBER(CO33),INDEX('2.Distances'!D2:D962,CO32*31+CO33 + 1) +CS32," ")," ")</f>
        <v xml:space="preserve"> </v>
      </c>
      <c r="CT33" s="70" t="str">
        <f ca="1">IFERROR(IF(ISNUMBER(CO33),INDEX('2.Distances'!D2:D962,CO32*31+CO33 + 1) +CU32," ")," ")</f>
        <v xml:space="preserve"> </v>
      </c>
      <c r="CU33" s="70" t="str">
        <f ca="1">IFERROR(IF(AND(CO5&lt;&gt;CO33,ISNUMBER(CT33)),INDEX('1.Locations'!I2:I32,CO33 + 1) + MAX(CT33,INDEX('1.Locations'!F2:F32,CO33 + 1))," ")," ")</f>
        <v xml:space="preserve"> </v>
      </c>
      <c r="CV33" s="69" t="str">
        <f ca="1">IFERROR(IF(CO5 = CO33, CT33 - CU5, CU33 - CU5)," ")</f>
        <v xml:space="preserve"> </v>
      </c>
      <c r="CW33" s="67" t="str">
        <f ca="1">IFERROR(IF(ISNUMBER(CO33),INDEX('1.Locations'!L2:L32,CO33 + 1) + CW32," ")," ")</f>
        <v xml:space="preserve"> </v>
      </c>
      <c r="CX33" s="67" t="str">
        <f ca="1">IFERROR(IF(ISNUMBER(CO33),INDEX('1.Locations'!J2:J32,CO33 + 1)," ")," ")</f>
        <v xml:space="preserve"> </v>
      </c>
      <c r="CY33" s="67" t="str">
        <f ca="1">IFERROR(IF(ISNUMBER(CO33),INDEX('1.Locations'!K2:K32,CO33 + 1)," ")," ")</f>
        <v xml:space="preserve"> </v>
      </c>
      <c r="CZ33" s="67" t="str">
        <f ca="1">IFERROR(IF(ISNUMBER(CO33),SUM(CX5:CX33) + SUM(CY34:CY36)," ")," ")</f>
        <v xml:space="preserve"> </v>
      </c>
      <c r="DB33" s="17">
        <v>28</v>
      </c>
      <c r="DC33" s="21"/>
      <c r="DD33" s="67" t="str">
        <f ca="1">IFERROR(MATCH(INDIRECT("DC33"),'1.Locations'!B2:B32, 0) - 1," ")</f>
        <v xml:space="preserve"> </v>
      </c>
      <c r="DE33" s="67" t="e">
        <f ca="1">IFERROR(IF(ISNUMBER(DD33),INDEX('1.Locations'!D2:D32,DD33 + 1),NA()),NA())</f>
        <v>#N/A</v>
      </c>
      <c r="DF33" s="67" t="e">
        <f ca="1">IFERROR(IF(ISNUMBER(DD33),INDEX('1.Locations'!E2:E32,DD33 + 1),NA()),NA())</f>
        <v>#N/A</v>
      </c>
      <c r="DG33" s="68" t="str">
        <f ca="1">IFERROR(IF(ISNUMBER(DD33),INDEX('2.Distances'!C2:C962,DD32*31+DD33+ 1) +DG32," ")," ")</f>
        <v xml:space="preserve"> </v>
      </c>
      <c r="DH33" s="69" t="str">
        <f ca="1">IFERROR(IF(ISNUMBER(DD33),INDEX('2.Distances'!D2:D962,DD32*31+DD33 + 1) +DH32," ")," ")</f>
        <v xml:space="preserve"> </v>
      </c>
      <c r="DI33" s="70" t="str">
        <f ca="1">IFERROR(IF(ISNUMBER(DD33),INDEX('2.Distances'!D2:D962,DD32*31+DD33 + 1) +DJ32," ")," ")</f>
        <v xml:space="preserve"> </v>
      </c>
      <c r="DJ33" s="70" t="str">
        <f ca="1">IFERROR(IF(AND(DD5&lt;&gt;DD33,ISNUMBER(DI33)),INDEX('1.Locations'!I2:I32,DD33 + 1) + MAX(DI33,INDEX('1.Locations'!F2:F32,DD33 + 1))," ")," ")</f>
        <v xml:space="preserve"> </v>
      </c>
      <c r="DK33" s="69" t="str">
        <f ca="1">IFERROR(IF(DD5 = DD33, DI33 - DJ5, DJ33 - DJ5)," ")</f>
        <v xml:space="preserve"> </v>
      </c>
      <c r="DL33" s="67" t="str">
        <f ca="1">IFERROR(IF(ISNUMBER(DD33),INDEX('1.Locations'!L2:L32,DD33 + 1) + DL32," ")," ")</f>
        <v xml:space="preserve"> </v>
      </c>
      <c r="DM33" s="67" t="str">
        <f ca="1">IFERROR(IF(ISNUMBER(DD33),INDEX('1.Locations'!J2:J32,DD33 + 1)," ")," ")</f>
        <v xml:space="preserve"> </v>
      </c>
      <c r="DN33" s="67" t="str">
        <f ca="1">IFERROR(IF(ISNUMBER(DD33),INDEX('1.Locations'!K2:K32,DD33 + 1)," ")," ")</f>
        <v xml:space="preserve"> </v>
      </c>
      <c r="DO33" s="67" t="str">
        <f ca="1">IFERROR(IF(ISNUMBER(DD33),SUM(DM5:DM33) + SUM(DN34:DN36)," ")," ")</f>
        <v xml:space="preserve"> </v>
      </c>
      <c r="DQ33" s="17">
        <v>28</v>
      </c>
      <c r="DR33" s="21"/>
      <c r="DS33" s="67" t="str">
        <f ca="1">IFERROR(MATCH(INDIRECT("DR33"),'1.Locations'!B2:B32, 0) - 1," ")</f>
        <v xml:space="preserve"> </v>
      </c>
      <c r="DT33" s="67" t="e">
        <f ca="1">IFERROR(IF(ISNUMBER(DS33),INDEX('1.Locations'!D2:D32,DS33 + 1),NA()),NA())</f>
        <v>#N/A</v>
      </c>
      <c r="DU33" s="67" t="e">
        <f ca="1">IFERROR(IF(ISNUMBER(DS33),INDEX('1.Locations'!E2:E32,DS33 + 1),NA()),NA())</f>
        <v>#N/A</v>
      </c>
      <c r="DV33" s="68" t="str">
        <f ca="1">IFERROR(IF(ISNUMBER(DS33),INDEX('2.Distances'!C2:C962,DS32*31+DS33+ 1) +DV32," ")," ")</f>
        <v xml:space="preserve"> </v>
      </c>
      <c r="DW33" s="69" t="str">
        <f ca="1">IFERROR(IF(ISNUMBER(DS33),INDEX('2.Distances'!D2:D962,DS32*31+DS33 + 1) +DW32," ")," ")</f>
        <v xml:space="preserve"> </v>
      </c>
      <c r="DX33" s="70" t="str">
        <f ca="1">IFERROR(IF(ISNUMBER(DS33),INDEX('2.Distances'!D2:D962,DS32*31+DS33 + 1) +DY32," ")," ")</f>
        <v xml:space="preserve"> </v>
      </c>
      <c r="DY33" s="70" t="str">
        <f ca="1">IFERROR(IF(AND(DS5&lt;&gt;DS33,ISNUMBER(DX33)),INDEX('1.Locations'!I2:I32,DS33 + 1) + MAX(DX33,INDEX('1.Locations'!F2:F32,DS33 + 1))," ")," ")</f>
        <v xml:space="preserve"> </v>
      </c>
      <c r="DZ33" s="69" t="str">
        <f ca="1">IFERROR(IF(DS5 = DS33, DX33 - DY5, DY33 - DY5)," ")</f>
        <v xml:space="preserve"> </v>
      </c>
      <c r="EA33" s="67" t="str">
        <f ca="1">IFERROR(IF(ISNUMBER(DS33),INDEX('1.Locations'!L2:L32,DS33 + 1) + EA32," ")," ")</f>
        <v xml:space="preserve"> </v>
      </c>
      <c r="EB33" s="67" t="str">
        <f ca="1">IFERROR(IF(ISNUMBER(DS33),INDEX('1.Locations'!J2:J32,DS33 + 1)," ")," ")</f>
        <v xml:space="preserve"> </v>
      </c>
      <c r="EC33" s="67" t="str">
        <f ca="1">IFERROR(IF(ISNUMBER(DS33),INDEX('1.Locations'!K2:K32,DS33 + 1)," ")," ")</f>
        <v xml:space="preserve"> </v>
      </c>
      <c r="ED33" s="67" t="str">
        <f ca="1">IFERROR(IF(ISNUMBER(DS33),SUM(EB5:EB33) + SUM(EC34:EC36)," ")," ")</f>
        <v xml:space="preserve"> </v>
      </c>
      <c r="EF33" s="17">
        <v>28</v>
      </c>
      <c r="EG33" s="21"/>
      <c r="EH33" s="67" t="str">
        <f ca="1">IFERROR(MATCH(INDIRECT("EG33"),'1.Locations'!B2:B32, 0) - 1," ")</f>
        <v xml:space="preserve"> </v>
      </c>
      <c r="EI33" s="67" t="e">
        <f ca="1">IFERROR(IF(ISNUMBER(EH33),INDEX('1.Locations'!D2:D32,EH33 + 1),NA()),NA())</f>
        <v>#N/A</v>
      </c>
      <c r="EJ33" s="67" t="e">
        <f ca="1">IFERROR(IF(ISNUMBER(EH33),INDEX('1.Locations'!E2:E32,EH33 + 1),NA()),NA())</f>
        <v>#N/A</v>
      </c>
      <c r="EK33" s="68" t="str">
        <f ca="1">IFERROR(IF(ISNUMBER(EH33),INDEX('2.Distances'!C2:C962,EH32*31+EH33+ 1) +EK32," ")," ")</f>
        <v xml:space="preserve"> </v>
      </c>
      <c r="EL33" s="69" t="str">
        <f ca="1">IFERROR(IF(ISNUMBER(EH33),INDEX('2.Distances'!D2:D962,EH32*31+EH33 + 1) +EL32," ")," ")</f>
        <v xml:space="preserve"> </v>
      </c>
      <c r="EM33" s="70" t="str">
        <f ca="1">IFERROR(IF(ISNUMBER(EH33),INDEX('2.Distances'!D2:D962,EH32*31+EH33 + 1) +EN32," ")," ")</f>
        <v xml:space="preserve"> </v>
      </c>
      <c r="EN33" s="70" t="str">
        <f ca="1">IFERROR(IF(AND(EH5&lt;&gt;EH33,ISNUMBER(EM33)),INDEX('1.Locations'!I2:I32,EH33 + 1) + MAX(EM33,INDEX('1.Locations'!F2:F32,EH33 + 1))," ")," ")</f>
        <v xml:space="preserve"> </v>
      </c>
      <c r="EO33" s="69" t="str">
        <f ca="1">IFERROR(IF(EH5 = EH33, EM33 - EN5, EN33 - EN5)," ")</f>
        <v xml:space="preserve"> </v>
      </c>
      <c r="EP33" s="67" t="str">
        <f ca="1">IFERROR(IF(ISNUMBER(EH33),INDEX('1.Locations'!L2:L32,EH33 + 1) + EP32," ")," ")</f>
        <v xml:space="preserve"> </v>
      </c>
      <c r="EQ33" s="67" t="str">
        <f ca="1">IFERROR(IF(ISNUMBER(EH33),INDEX('1.Locations'!J2:J32,EH33 + 1)," ")," ")</f>
        <v xml:space="preserve"> </v>
      </c>
      <c r="ER33" s="67" t="str">
        <f ca="1">IFERROR(IF(ISNUMBER(EH33),INDEX('1.Locations'!K2:K32,EH33 + 1)," ")," ")</f>
        <v xml:space="preserve"> </v>
      </c>
      <c r="ES33" s="67" t="str">
        <f ca="1">IFERROR(IF(ISNUMBER(EH33),SUM(EQ5:EQ33) + SUM(ER34:ER36)," ")," ")</f>
        <v xml:space="preserve"> </v>
      </c>
    </row>
    <row r="34" spans="1:149" x14ac:dyDescent="0.25">
      <c r="A34" s="17">
        <v>29</v>
      </c>
      <c r="B34" s="18"/>
      <c r="C34" s="67" t="str">
        <f ca="1">IFERROR(MATCH(INDIRECT("B34"),'1.Locations'!B2:B32, 0) - 1," ")</f>
        <v xml:space="preserve"> </v>
      </c>
      <c r="D34" s="67" t="e">
        <f ca="1">IFERROR(IF(ISNUMBER(C34),INDEX('1.Locations'!D2:D32,C34 + 1),NA()),NA())</f>
        <v>#N/A</v>
      </c>
      <c r="E34" s="67" t="e">
        <f ca="1">IFERROR(IF(ISNUMBER(C34),INDEX('1.Locations'!E2:E32,C34 + 1),NA()),NA())</f>
        <v>#N/A</v>
      </c>
      <c r="F34" s="68" t="str">
        <f ca="1">IFERROR(IF(ISNUMBER(C34),INDEX('2.Distances'!C2:C962,C33*31+C34+ 1) +F33," ")," ")</f>
        <v xml:space="preserve"> </v>
      </c>
      <c r="G34" s="69" t="str">
        <f ca="1">IFERROR(IF(ISNUMBER(C34),INDEX('2.Distances'!D2:D962,C33*31+C34 + 1) +G33," ")," ")</f>
        <v xml:space="preserve"> </v>
      </c>
      <c r="H34" s="70" t="str">
        <f ca="1">IFERROR(IF(ISNUMBER(C34),INDEX('2.Distances'!D2:D962,C33*31+C34 + 1) +I33," ")," ")</f>
        <v xml:space="preserve"> </v>
      </c>
      <c r="I34" s="70" t="str">
        <f ca="1">IFERROR(IF(AND(C5&lt;&gt;C34,ISNUMBER(H34)),INDEX('1.Locations'!I2:I32,C34 + 1) + MAX(H34,INDEX('1.Locations'!F2:F32,C34 + 1))," ")," ")</f>
        <v xml:space="preserve"> </v>
      </c>
      <c r="J34" s="69" t="str">
        <f ca="1">IFERROR(IF(C5 = C34, H34 - I5, I34 - I5)," ")</f>
        <v xml:space="preserve"> </v>
      </c>
      <c r="K34" s="67" t="str">
        <f ca="1">IFERROR(IF(ISNUMBER(C34),INDEX('1.Locations'!L2:L32,C34 + 1) + K33," ")," ")</f>
        <v xml:space="preserve"> </v>
      </c>
      <c r="L34" s="67" t="str">
        <f ca="1">IFERROR(IF(ISNUMBER(C34),INDEX('1.Locations'!J2:J32,C34 + 1)," ")," ")</f>
        <v xml:space="preserve"> </v>
      </c>
      <c r="M34" s="67" t="str">
        <f ca="1">IFERROR(IF(ISNUMBER(C34),INDEX('1.Locations'!K2:K32,C34 + 1)," ")," ")</f>
        <v xml:space="preserve"> </v>
      </c>
      <c r="N34" s="67" t="str">
        <f ca="1">IFERROR(IF(ISNUMBER(C34),SUM(L5:L34) + SUM(M35:M36)," ")," ")</f>
        <v xml:space="preserve"> </v>
      </c>
      <c r="P34" s="17">
        <v>29</v>
      </c>
      <c r="Q34" s="18"/>
      <c r="R34" s="67" t="str">
        <f ca="1">IFERROR(MATCH(INDIRECT("Q34"),'1.Locations'!B2:B32, 0) - 1," ")</f>
        <v xml:space="preserve"> </v>
      </c>
      <c r="S34" s="67" t="e">
        <f ca="1">IFERROR(IF(ISNUMBER(R34),INDEX('1.Locations'!D2:D32,R34 + 1),NA()),NA())</f>
        <v>#N/A</v>
      </c>
      <c r="T34" s="67" t="e">
        <f ca="1">IFERROR(IF(ISNUMBER(R34),INDEX('1.Locations'!E2:E32,R34 + 1),NA()),NA())</f>
        <v>#N/A</v>
      </c>
      <c r="U34" s="68" t="str">
        <f ca="1">IFERROR(IF(ISNUMBER(R34),INDEX('2.Distances'!C2:C962,R33*31+R34+ 1) +U33," ")," ")</f>
        <v xml:space="preserve"> </v>
      </c>
      <c r="V34" s="69" t="str">
        <f ca="1">IFERROR(IF(ISNUMBER(R34),INDEX('2.Distances'!D2:D962,R33*31+R34 + 1) +V33," ")," ")</f>
        <v xml:space="preserve"> </v>
      </c>
      <c r="W34" s="70" t="str">
        <f ca="1">IFERROR(IF(ISNUMBER(R34),INDEX('2.Distances'!D2:D962,R33*31+R34 + 1) +X33," ")," ")</f>
        <v xml:space="preserve"> </v>
      </c>
      <c r="X34" s="70" t="str">
        <f ca="1">IFERROR(IF(AND(R5&lt;&gt;R34,ISNUMBER(W34)),INDEX('1.Locations'!I2:I32,R34 + 1) + MAX(W34,INDEX('1.Locations'!F2:F32,R34 + 1))," ")," ")</f>
        <v xml:space="preserve"> </v>
      </c>
      <c r="Y34" s="69" t="str">
        <f ca="1">IFERROR(IF(R5 = R34, W34 - X5, X34 - X5)," ")</f>
        <v xml:space="preserve"> </v>
      </c>
      <c r="Z34" s="67" t="str">
        <f ca="1">IFERROR(IF(ISNUMBER(R34),INDEX('1.Locations'!L2:L32,R34 + 1) + Z33," ")," ")</f>
        <v xml:space="preserve"> </v>
      </c>
      <c r="AA34" s="67" t="str">
        <f ca="1">IFERROR(IF(ISNUMBER(R34),INDEX('1.Locations'!J2:J32,R34 + 1)," ")," ")</f>
        <v xml:space="preserve"> </v>
      </c>
      <c r="AB34" s="67" t="str">
        <f ca="1">IFERROR(IF(ISNUMBER(R34),INDEX('1.Locations'!K2:K32,R34 + 1)," ")," ")</f>
        <v xml:space="preserve"> </v>
      </c>
      <c r="AC34" s="67" t="str">
        <f ca="1">IFERROR(IF(ISNUMBER(R34),SUM(AA5:AA34) + SUM(AB35:AB36)," ")," ")</f>
        <v xml:space="preserve"> </v>
      </c>
      <c r="AE34" s="17">
        <v>29</v>
      </c>
      <c r="AF34" s="18"/>
      <c r="AG34" s="67" t="str">
        <f ca="1">IFERROR(MATCH(INDIRECT("AF34"),'1.Locations'!B2:B32, 0) - 1," ")</f>
        <v xml:space="preserve"> </v>
      </c>
      <c r="AH34" s="67" t="e">
        <f ca="1">IFERROR(IF(ISNUMBER(AG34),INDEX('1.Locations'!D2:D32,AG34 + 1),NA()),NA())</f>
        <v>#N/A</v>
      </c>
      <c r="AI34" s="67" t="e">
        <f ca="1">IFERROR(IF(ISNUMBER(AG34),INDEX('1.Locations'!E2:E32,AG34 + 1),NA()),NA())</f>
        <v>#N/A</v>
      </c>
      <c r="AJ34" s="68" t="str">
        <f ca="1">IFERROR(IF(ISNUMBER(AG34),INDEX('2.Distances'!C2:C962,AG33*31+AG34+ 1) +AJ33," ")," ")</f>
        <v xml:space="preserve"> </v>
      </c>
      <c r="AK34" s="69" t="str">
        <f ca="1">IFERROR(IF(ISNUMBER(AG34),INDEX('2.Distances'!D2:D962,AG33*31+AG34 + 1) +AK33," ")," ")</f>
        <v xml:space="preserve"> </v>
      </c>
      <c r="AL34" s="70" t="str">
        <f ca="1">IFERROR(IF(ISNUMBER(AG34),INDEX('2.Distances'!D2:D962,AG33*31+AG34 + 1) +AM33," ")," ")</f>
        <v xml:space="preserve"> </v>
      </c>
      <c r="AM34" s="70" t="str">
        <f ca="1">IFERROR(IF(AND(AG5&lt;&gt;AG34,ISNUMBER(AL34)),INDEX('1.Locations'!I2:I32,AG34 + 1) + MAX(AL34,INDEX('1.Locations'!F2:F32,AG34 + 1))," ")," ")</f>
        <v xml:space="preserve"> </v>
      </c>
      <c r="AN34" s="69" t="str">
        <f ca="1">IFERROR(IF(AG5 = AG34, AL34 - AM5, AM34 - AM5)," ")</f>
        <v xml:space="preserve"> </v>
      </c>
      <c r="AO34" s="67" t="str">
        <f ca="1">IFERROR(IF(ISNUMBER(AG34),INDEX('1.Locations'!L2:L32,AG34 + 1) + AO33," ")," ")</f>
        <v xml:space="preserve"> </v>
      </c>
      <c r="AP34" s="67" t="str">
        <f ca="1">IFERROR(IF(ISNUMBER(AG34),INDEX('1.Locations'!J2:J32,AG34 + 1)," ")," ")</f>
        <v xml:space="preserve"> </v>
      </c>
      <c r="AQ34" s="67" t="str">
        <f ca="1">IFERROR(IF(ISNUMBER(AG34),INDEX('1.Locations'!K2:K32,AG34 + 1)," ")," ")</f>
        <v xml:space="preserve"> </v>
      </c>
      <c r="AR34" s="67" t="str">
        <f ca="1">IFERROR(IF(ISNUMBER(AG34),SUM(AP5:AP34) + SUM(AQ35:AQ36)," ")," ")</f>
        <v xml:space="preserve"> </v>
      </c>
      <c r="AT34" s="17">
        <v>29</v>
      </c>
      <c r="AU34" s="18"/>
      <c r="AV34" s="67" t="str">
        <f ca="1">IFERROR(MATCH(INDIRECT("AU34"),'1.Locations'!B2:B32, 0) - 1," ")</f>
        <v xml:space="preserve"> </v>
      </c>
      <c r="AW34" s="67" t="e">
        <f ca="1">IFERROR(IF(ISNUMBER(AV34),INDEX('1.Locations'!D2:D32,AV34 + 1),NA()),NA())</f>
        <v>#N/A</v>
      </c>
      <c r="AX34" s="67" t="e">
        <f ca="1">IFERROR(IF(ISNUMBER(AV34),INDEX('1.Locations'!E2:E32,AV34 + 1),NA()),NA())</f>
        <v>#N/A</v>
      </c>
      <c r="AY34" s="68" t="str">
        <f ca="1">IFERROR(IF(ISNUMBER(AV34),INDEX('2.Distances'!C2:C962,AV33*31+AV34+ 1) +AY33," ")," ")</f>
        <v xml:space="preserve"> </v>
      </c>
      <c r="AZ34" s="69" t="str">
        <f ca="1">IFERROR(IF(ISNUMBER(AV34),INDEX('2.Distances'!D2:D962,AV33*31+AV34 + 1) +AZ33," ")," ")</f>
        <v xml:space="preserve"> </v>
      </c>
      <c r="BA34" s="70" t="str">
        <f ca="1">IFERROR(IF(ISNUMBER(AV34),INDEX('2.Distances'!D2:D962,AV33*31+AV34 + 1) +BB33," ")," ")</f>
        <v xml:space="preserve"> </v>
      </c>
      <c r="BB34" s="70" t="str">
        <f ca="1">IFERROR(IF(AND(AV5&lt;&gt;AV34,ISNUMBER(BA34)),INDEX('1.Locations'!I2:I32,AV34 + 1) + MAX(BA34,INDEX('1.Locations'!F2:F32,AV34 + 1))," ")," ")</f>
        <v xml:space="preserve"> </v>
      </c>
      <c r="BC34" s="69" t="str">
        <f ca="1">IFERROR(IF(AV5 = AV34, BA34 - BB5, BB34 - BB5)," ")</f>
        <v xml:space="preserve"> </v>
      </c>
      <c r="BD34" s="67" t="str">
        <f ca="1">IFERROR(IF(ISNUMBER(AV34),INDEX('1.Locations'!L2:L32,AV34 + 1) + BD33," ")," ")</f>
        <v xml:space="preserve"> </v>
      </c>
      <c r="BE34" s="67" t="str">
        <f ca="1">IFERROR(IF(ISNUMBER(AV34),INDEX('1.Locations'!J2:J32,AV34 + 1)," ")," ")</f>
        <v xml:space="preserve"> </v>
      </c>
      <c r="BF34" s="67" t="str">
        <f ca="1">IFERROR(IF(ISNUMBER(AV34),INDEX('1.Locations'!K2:K32,AV34 + 1)," ")," ")</f>
        <v xml:space="preserve"> </v>
      </c>
      <c r="BG34" s="67" t="str">
        <f ca="1">IFERROR(IF(ISNUMBER(AV34),SUM(BE5:BE34) + SUM(BF35:BF36)," ")," ")</f>
        <v xml:space="preserve"> </v>
      </c>
      <c r="BI34" s="17">
        <v>29</v>
      </c>
      <c r="BJ34" s="18"/>
      <c r="BK34" s="67" t="str">
        <f ca="1">IFERROR(MATCH(INDIRECT("BJ34"),'1.Locations'!B2:B32, 0) - 1," ")</f>
        <v xml:space="preserve"> </v>
      </c>
      <c r="BL34" s="67" t="e">
        <f ca="1">IFERROR(IF(ISNUMBER(BK34),INDEX('1.Locations'!D2:D32,BK34 + 1),NA()),NA())</f>
        <v>#N/A</v>
      </c>
      <c r="BM34" s="67" t="e">
        <f ca="1">IFERROR(IF(ISNUMBER(BK34),INDEX('1.Locations'!E2:E32,BK34 + 1),NA()),NA())</f>
        <v>#N/A</v>
      </c>
      <c r="BN34" s="68" t="str">
        <f ca="1">IFERROR(IF(ISNUMBER(BK34),INDEX('2.Distances'!C2:C962,BK33*31+BK34+ 1) +BN33," ")," ")</f>
        <v xml:space="preserve"> </v>
      </c>
      <c r="BO34" s="69" t="str">
        <f ca="1">IFERROR(IF(ISNUMBER(BK34),INDEX('2.Distances'!D2:D962,BK33*31+BK34 + 1) +BO33," ")," ")</f>
        <v xml:space="preserve"> </v>
      </c>
      <c r="BP34" s="70" t="str">
        <f ca="1">IFERROR(IF(ISNUMBER(BK34),INDEX('2.Distances'!D2:D962,BK33*31+BK34 + 1) +BQ33," ")," ")</f>
        <v xml:space="preserve"> </v>
      </c>
      <c r="BQ34" s="70" t="str">
        <f ca="1">IFERROR(IF(AND(BK5&lt;&gt;BK34,ISNUMBER(BP34)),INDEX('1.Locations'!I2:I32,BK34 + 1) + MAX(BP34,INDEX('1.Locations'!F2:F32,BK34 + 1))," ")," ")</f>
        <v xml:space="preserve"> </v>
      </c>
      <c r="BR34" s="69" t="str">
        <f ca="1">IFERROR(IF(BK5 = BK34, BP34 - BQ5, BQ34 - BQ5)," ")</f>
        <v xml:space="preserve"> </v>
      </c>
      <c r="BS34" s="67" t="str">
        <f ca="1">IFERROR(IF(ISNUMBER(BK34),INDEX('1.Locations'!L2:L32,BK34 + 1) + BS33," ")," ")</f>
        <v xml:space="preserve"> </v>
      </c>
      <c r="BT34" s="67" t="str">
        <f ca="1">IFERROR(IF(ISNUMBER(BK34),INDEX('1.Locations'!J2:J32,BK34 + 1)," ")," ")</f>
        <v xml:space="preserve"> </v>
      </c>
      <c r="BU34" s="67" t="str">
        <f ca="1">IFERROR(IF(ISNUMBER(BK34),INDEX('1.Locations'!K2:K32,BK34 + 1)," ")," ")</f>
        <v xml:space="preserve"> </v>
      </c>
      <c r="BV34" s="67" t="str">
        <f ca="1">IFERROR(IF(ISNUMBER(BK34),SUM(BT5:BT34) + SUM(BU35:BU36)," ")," ")</f>
        <v xml:space="preserve"> </v>
      </c>
      <c r="BX34" s="17">
        <v>29</v>
      </c>
      <c r="BY34" s="18"/>
      <c r="BZ34" s="67" t="str">
        <f ca="1">IFERROR(MATCH(INDIRECT("BY34"),'1.Locations'!B2:B32, 0) - 1," ")</f>
        <v xml:space="preserve"> </v>
      </c>
      <c r="CA34" s="67" t="e">
        <f ca="1">IFERROR(IF(ISNUMBER(BZ34),INDEX('1.Locations'!D2:D32,BZ34 + 1),NA()),NA())</f>
        <v>#N/A</v>
      </c>
      <c r="CB34" s="67" t="e">
        <f ca="1">IFERROR(IF(ISNUMBER(BZ34),INDEX('1.Locations'!E2:E32,BZ34 + 1),NA()),NA())</f>
        <v>#N/A</v>
      </c>
      <c r="CC34" s="68" t="str">
        <f ca="1">IFERROR(IF(ISNUMBER(BZ34),INDEX('2.Distances'!C2:C962,BZ33*31+BZ34+ 1) +CC33," ")," ")</f>
        <v xml:space="preserve"> </v>
      </c>
      <c r="CD34" s="69" t="str">
        <f ca="1">IFERROR(IF(ISNUMBER(BZ34),INDEX('2.Distances'!D2:D962,BZ33*31+BZ34 + 1) +CD33," ")," ")</f>
        <v xml:space="preserve"> </v>
      </c>
      <c r="CE34" s="70" t="str">
        <f ca="1">IFERROR(IF(ISNUMBER(BZ34),INDEX('2.Distances'!D2:D962,BZ33*31+BZ34 + 1) +CF33," ")," ")</f>
        <v xml:space="preserve"> </v>
      </c>
      <c r="CF34" s="70" t="str">
        <f ca="1">IFERROR(IF(AND(BZ5&lt;&gt;BZ34,ISNUMBER(CE34)),INDEX('1.Locations'!I2:I32,BZ34 + 1) + MAX(CE34,INDEX('1.Locations'!F2:F32,BZ34 + 1))," ")," ")</f>
        <v xml:space="preserve"> </v>
      </c>
      <c r="CG34" s="69" t="str">
        <f ca="1">IFERROR(IF(BZ5 = BZ34, CE34 - CF5, CF34 - CF5)," ")</f>
        <v xml:space="preserve"> </v>
      </c>
      <c r="CH34" s="67" t="str">
        <f ca="1">IFERROR(IF(ISNUMBER(BZ34),INDEX('1.Locations'!L2:L32,BZ34 + 1) + CH33," ")," ")</f>
        <v xml:space="preserve"> </v>
      </c>
      <c r="CI34" s="67" t="str">
        <f ca="1">IFERROR(IF(ISNUMBER(BZ34),INDEX('1.Locations'!J2:J32,BZ34 + 1)," ")," ")</f>
        <v xml:space="preserve"> </v>
      </c>
      <c r="CJ34" s="67" t="str">
        <f ca="1">IFERROR(IF(ISNUMBER(BZ34),INDEX('1.Locations'!K2:K32,BZ34 + 1)," ")," ")</f>
        <v xml:space="preserve"> </v>
      </c>
      <c r="CK34" s="67" t="str">
        <f ca="1">IFERROR(IF(ISNUMBER(BZ34),SUM(CI5:CI34) + SUM(CJ35:CJ36)," ")," ")</f>
        <v xml:space="preserve"> </v>
      </c>
      <c r="CM34" s="17">
        <v>29</v>
      </c>
      <c r="CN34" s="18"/>
      <c r="CO34" s="67" t="str">
        <f ca="1">IFERROR(MATCH(INDIRECT("CN34"),'1.Locations'!B2:B32, 0) - 1," ")</f>
        <v xml:space="preserve"> </v>
      </c>
      <c r="CP34" s="67" t="e">
        <f ca="1">IFERROR(IF(ISNUMBER(CO34),INDEX('1.Locations'!D2:D32,CO34 + 1),NA()),NA())</f>
        <v>#N/A</v>
      </c>
      <c r="CQ34" s="67" t="e">
        <f ca="1">IFERROR(IF(ISNUMBER(CO34),INDEX('1.Locations'!E2:E32,CO34 + 1),NA()),NA())</f>
        <v>#N/A</v>
      </c>
      <c r="CR34" s="68" t="str">
        <f ca="1">IFERROR(IF(ISNUMBER(CO34),INDEX('2.Distances'!C2:C962,CO33*31+CO34+ 1) +CR33," ")," ")</f>
        <v xml:space="preserve"> </v>
      </c>
      <c r="CS34" s="69" t="str">
        <f ca="1">IFERROR(IF(ISNUMBER(CO34),INDEX('2.Distances'!D2:D962,CO33*31+CO34 + 1) +CS33," ")," ")</f>
        <v xml:space="preserve"> </v>
      </c>
      <c r="CT34" s="70" t="str">
        <f ca="1">IFERROR(IF(ISNUMBER(CO34),INDEX('2.Distances'!D2:D962,CO33*31+CO34 + 1) +CU33," ")," ")</f>
        <v xml:space="preserve"> </v>
      </c>
      <c r="CU34" s="70" t="str">
        <f ca="1">IFERROR(IF(AND(CO5&lt;&gt;CO34,ISNUMBER(CT34)),INDEX('1.Locations'!I2:I32,CO34 + 1) + MAX(CT34,INDEX('1.Locations'!F2:F32,CO34 + 1))," ")," ")</f>
        <v xml:space="preserve"> </v>
      </c>
      <c r="CV34" s="69" t="str">
        <f ca="1">IFERROR(IF(CO5 = CO34, CT34 - CU5, CU34 - CU5)," ")</f>
        <v xml:space="preserve"> </v>
      </c>
      <c r="CW34" s="67" t="str">
        <f ca="1">IFERROR(IF(ISNUMBER(CO34),INDEX('1.Locations'!L2:L32,CO34 + 1) + CW33," ")," ")</f>
        <v xml:space="preserve"> </v>
      </c>
      <c r="CX34" s="67" t="str">
        <f ca="1">IFERROR(IF(ISNUMBER(CO34),INDEX('1.Locations'!J2:J32,CO34 + 1)," ")," ")</f>
        <v xml:space="preserve"> </v>
      </c>
      <c r="CY34" s="67" t="str">
        <f ca="1">IFERROR(IF(ISNUMBER(CO34),INDEX('1.Locations'!K2:K32,CO34 + 1)," ")," ")</f>
        <v xml:space="preserve"> </v>
      </c>
      <c r="CZ34" s="67" t="str">
        <f ca="1">IFERROR(IF(ISNUMBER(CO34),SUM(CX5:CX34) + SUM(CY35:CY36)," ")," ")</f>
        <v xml:space="preserve"> </v>
      </c>
      <c r="DB34" s="17">
        <v>29</v>
      </c>
      <c r="DC34" s="18"/>
      <c r="DD34" s="67" t="str">
        <f ca="1">IFERROR(MATCH(INDIRECT("DC34"),'1.Locations'!B2:B32, 0) - 1," ")</f>
        <v xml:space="preserve"> </v>
      </c>
      <c r="DE34" s="67" t="e">
        <f ca="1">IFERROR(IF(ISNUMBER(DD34),INDEX('1.Locations'!D2:D32,DD34 + 1),NA()),NA())</f>
        <v>#N/A</v>
      </c>
      <c r="DF34" s="67" t="e">
        <f ca="1">IFERROR(IF(ISNUMBER(DD34),INDEX('1.Locations'!E2:E32,DD34 + 1),NA()),NA())</f>
        <v>#N/A</v>
      </c>
      <c r="DG34" s="68" t="str">
        <f ca="1">IFERROR(IF(ISNUMBER(DD34),INDEX('2.Distances'!C2:C962,DD33*31+DD34+ 1) +DG33," ")," ")</f>
        <v xml:space="preserve"> </v>
      </c>
      <c r="DH34" s="69" t="str">
        <f ca="1">IFERROR(IF(ISNUMBER(DD34),INDEX('2.Distances'!D2:D962,DD33*31+DD34 + 1) +DH33," ")," ")</f>
        <v xml:space="preserve"> </v>
      </c>
      <c r="DI34" s="70" t="str">
        <f ca="1">IFERROR(IF(ISNUMBER(DD34),INDEX('2.Distances'!D2:D962,DD33*31+DD34 + 1) +DJ33," ")," ")</f>
        <v xml:space="preserve"> </v>
      </c>
      <c r="DJ34" s="70" t="str">
        <f ca="1">IFERROR(IF(AND(DD5&lt;&gt;DD34,ISNUMBER(DI34)),INDEX('1.Locations'!I2:I32,DD34 + 1) + MAX(DI34,INDEX('1.Locations'!F2:F32,DD34 + 1))," ")," ")</f>
        <v xml:space="preserve"> </v>
      </c>
      <c r="DK34" s="69" t="str">
        <f ca="1">IFERROR(IF(DD5 = DD34, DI34 - DJ5, DJ34 - DJ5)," ")</f>
        <v xml:space="preserve"> </v>
      </c>
      <c r="DL34" s="67" t="str">
        <f ca="1">IFERROR(IF(ISNUMBER(DD34),INDEX('1.Locations'!L2:L32,DD34 + 1) + DL33," ")," ")</f>
        <v xml:space="preserve"> </v>
      </c>
      <c r="DM34" s="67" t="str">
        <f ca="1">IFERROR(IF(ISNUMBER(DD34),INDEX('1.Locations'!J2:J32,DD34 + 1)," ")," ")</f>
        <v xml:space="preserve"> </v>
      </c>
      <c r="DN34" s="67" t="str">
        <f ca="1">IFERROR(IF(ISNUMBER(DD34),INDEX('1.Locations'!K2:K32,DD34 + 1)," ")," ")</f>
        <v xml:space="preserve"> </v>
      </c>
      <c r="DO34" s="67" t="str">
        <f ca="1">IFERROR(IF(ISNUMBER(DD34),SUM(DM5:DM34) + SUM(DN35:DN36)," ")," ")</f>
        <v xml:space="preserve"> </v>
      </c>
      <c r="DQ34" s="17">
        <v>29</v>
      </c>
      <c r="DR34" s="18"/>
      <c r="DS34" s="67" t="str">
        <f ca="1">IFERROR(MATCH(INDIRECT("DR34"),'1.Locations'!B2:B32, 0) - 1," ")</f>
        <v xml:space="preserve"> </v>
      </c>
      <c r="DT34" s="67" t="e">
        <f ca="1">IFERROR(IF(ISNUMBER(DS34),INDEX('1.Locations'!D2:D32,DS34 + 1),NA()),NA())</f>
        <v>#N/A</v>
      </c>
      <c r="DU34" s="67" t="e">
        <f ca="1">IFERROR(IF(ISNUMBER(DS34),INDEX('1.Locations'!E2:E32,DS34 + 1),NA()),NA())</f>
        <v>#N/A</v>
      </c>
      <c r="DV34" s="68" t="str">
        <f ca="1">IFERROR(IF(ISNUMBER(DS34),INDEX('2.Distances'!C2:C962,DS33*31+DS34+ 1) +DV33," ")," ")</f>
        <v xml:space="preserve"> </v>
      </c>
      <c r="DW34" s="69" t="str">
        <f ca="1">IFERROR(IF(ISNUMBER(DS34),INDEX('2.Distances'!D2:D962,DS33*31+DS34 + 1) +DW33," ")," ")</f>
        <v xml:space="preserve"> </v>
      </c>
      <c r="DX34" s="70" t="str">
        <f ca="1">IFERROR(IF(ISNUMBER(DS34),INDEX('2.Distances'!D2:D962,DS33*31+DS34 + 1) +DY33," ")," ")</f>
        <v xml:space="preserve"> </v>
      </c>
      <c r="DY34" s="70" t="str">
        <f ca="1">IFERROR(IF(AND(DS5&lt;&gt;DS34,ISNUMBER(DX34)),INDEX('1.Locations'!I2:I32,DS34 + 1) + MAX(DX34,INDEX('1.Locations'!F2:F32,DS34 + 1))," ")," ")</f>
        <v xml:space="preserve"> </v>
      </c>
      <c r="DZ34" s="69" t="str">
        <f ca="1">IFERROR(IF(DS5 = DS34, DX34 - DY5, DY34 - DY5)," ")</f>
        <v xml:space="preserve"> </v>
      </c>
      <c r="EA34" s="67" t="str">
        <f ca="1">IFERROR(IF(ISNUMBER(DS34),INDEX('1.Locations'!L2:L32,DS34 + 1) + EA33," ")," ")</f>
        <v xml:space="preserve"> </v>
      </c>
      <c r="EB34" s="67" t="str">
        <f ca="1">IFERROR(IF(ISNUMBER(DS34),INDEX('1.Locations'!J2:J32,DS34 + 1)," ")," ")</f>
        <v xml:space="preserve"> </v>
      </c>
      <c r="EC34" s="67" t="str">
        <f ca="1">IFERROR(IF(ISNUMBER(DS34),INDEX('1.Locations'!K2:K32,DS34 + 1)," ")," ")</f>
        <v xml:space="preserve"> </v>
      </c>
      <c r="ED34" s="67" t="str">
        <f ca="1">IFERROR(IF(ISNUMBER(DS34),SUM(EB5:EB34) + SUM(EC35:EC36)," ")," ")</f>
        <v xml:space="preserve"> </v>
      </c>
      <c r="EF34" s="17">
        <v>29</v>
      </c>
      <c r="EG34" s="18"/>
      <c r="EH34" s="67" t="str">
        <f ca="1">IFERROR(MATCH(INDIRECT("EG34"),'1.Locations'!B2:B32, 0) - 1," ")</f>
        <v xml:space="preserve"> </v>
      </c>
      <c r="EI34" s="67" t="e">
        <f ca="1">IFERROR(IF(ISNUMBER(EH34),INDEX('1.Locations'!D2:D32,EH34 + 1),NA()),NA())</f>
        <v>#N/A</v>
      </c>
      <c r="EJ34" s="67" t="e">
        <f ca="1">IFERROR(IF(ISNUMBER(EH34),INDEX('1.Locations'!E2:E32,EH34 + 1),NA()),NA())</f>
        <v>#N/A</v>
      </c>
      <c r="EK34" s="68" t="str">
        <f ca="1">IFERROR(IF(ISNUMBER(EH34),INDEX('2.Distances'!C2:C962,EH33*31+EH34+ 1) +EK33," ")," ")</f>
        <v xml:space="preserve"> </v>
      </c>
      <c r="EL34" s="69" t="str">
        <f ca="1">IFERROR(IF(ISNUMBER(EH34),INDEX('2.Distances'!D2:D962,EH33*31+EH34 + 1) +EL33," ")," ")</f>
        <v xml:space="preserve"> </v>
      </c>
      <c r="EM34" s="70" t="str">
        <f ca="1">IFERROR(IF(ISNUMBER(EH34),INDEX('2.Distances'!D2:D962,EH33*31+EH34 + 1) +EN33," ")," ")</f>
        <v xml:space="preserve"> </v>
      </c>
      <c r="EN34" s="70" t="str">
        <f ca="1">IFERROR(IF(AND(EH5&lt;&gt;EH34,ISNUMBER(EM34)),INDEX('1.Locations'!I2:I32,EH34 + 1) + MAX(EM34,INDEX('1.Locations'!F2:F32,EH34 + 1))," ")," ")</f>
        <v xml:space="preserve"> </v>
      </c>
      <c r="EO34" s="69" t="str">
        <f ca="1">IFERROR(IF(EH5 = EH34, EM34 - EN5, EN34 - EN5)," ")</f>
        <v xml:space="preserve"> </v>
      </c>
      <c r="EP34" s="67" t="str">
        <f ca="1">IFERROR(IF(ISNUMBER(EH34),INDEX('1.Locations'!L2:L32,EH34 + 1) + EP33," ")," ")</f>
        <v xml:space="preserve"> </v>
      </c>
      <c r="EQ34" s="67" t="str">
        <f ca="1">IFERROR(IF(ISNUMBER(EH34),INDEX('1.Locations'!J2:J32,EH34 + 1)," ")," ")</f>
        <v xml:space="preserve"> </v>
      </c>
      <c r="ER34" s="67" t="str">
        <f ca="1">IFERROR(IF(ISNUMBER(EH34),INDEX('1.Locations'!K2:K32,EH34 + 1)," ")," ")</f>
        <v xml:space="preserve"> </v>
      </c>
      <c r="ES34" s="67" t="str">
        <f ca="1">IFERROR(IF(ISNUMBER(EH34),SUM(EQ5:EQ34) + SUM(ER35:ER36)," ")," ")</f>
        <v xml:space="preserve"> </v>
      </c>
    </row>
    <row r="35" spans="1:149" x14ac:dyDescent="0.25">
      <c r="A35" s="17">
        <v>30</v>
      </c>
      <c r="B35" s="21"/>
      <c r="C35" s="67" t="str">
        <f ca="1">IFERROR(MATCH(INDIRECT("B35"),'1.Locations'!B2:B32, 0) - 1," ")</f>
        <v xml:space="preserve"> </v>
      </c>
      <c r="D35" s="67" t="e">
        <f ca="1">IFERROR(IF(ISNUMBER(C35),INDEX('1.Locations'!D2:D32,C35 + 1),NA()),NA())</f>
        <v>#N/A</v>
      </c>
      <c r="E35" s="67" t="e">
        <f ca="1">IFERROR(IF(ISNUMBER(C35),INDEX('1.Locations'!E2:E32,C35 + 1),NA()),NA())</f>
        <v>#N/A</v>
      </c>
      <c r="F35" s="68" t="str">
        <f ca="1">IFERROR(IF(ISNUMBER(C35),INDEX('2.Distances'!C2:C962,C34*31+C35+ 1) +F34," ")," ")</f>
        <v xml:space="preserve"> </v>
      </c>
      <c r="G35" s="69" t="str">
        <f ca="1">IFERROR(IF(ISNUMBER(C35),INDEX('2.Distances'!D2:D962,C34*31+C35 + 1) +G34," ")," ")</f>
        <v xml:space="preserve"> </v>
      </c>
      <c r="H35" s="70" t="str">
        <f ca="1">IFERROR(IF(ISNUMBER(C35),INDEX('2.Distances'!D2:D962,C34*31+C35 + 1) +I34," ")," ")</f>
        <v xml:space="preserve"> </v>
      </c>
      <c r="I35" s="70" t="str">
        <f ca="1">IFERROR(IF(AND(C5&lt;&gt;C35,ISNUMBER(H35)),INDEX('1.Locations'!I2:I32,C35 + 1) + MAX(H35,INDEX('1.Locations'!F2:F32,C35 + 1))," ")," ")</f>
        <v xml:space="preserve"> </v>
      </c>
      <c r="J35" s="69" t="str">
        <f ca="1">IFERROR(IF(C5 = C35, H35 - I5, I35 - I5)," ")</f>
        <v xml:space="preserve"> </v>
      </c>
      <c r="K35" s="67" t="str">
        <f ca="1">IFERROR(IF(ISNUMBER(C35),INDEX('1.Locations'!L2:L32,C35 + 1) + K34," ")," ")</f>
        <v xml:space="preserve"> </v>
      </c>
      <c r="L35" s="67" t="str">
        <f ca="1">IFERROR(IF(ISNUMBER(C35),INDEX('1.Locations'!J2:J32,C35 + 1)," ")," ")</f>
        <v xml:space="preserve"> </v>
      </c>
      <c r="M35" s="67" t="str">
        <f ca="1">IFERROR(IF(ISNUMBER(C35),INDEX('1.Locations'!K2:K32,C35 + 1)," ")," ")</f>
        <v xml:space="preserve"> </v>
      </c>
      <c r="N35" s="67" t="str">
        <f ca="1">IFERROR(IF(ISNUMBER(C35),SUM(L5:L35) + SUM(M36:M36)," ")," ")</f>
        <v xml:space="preserve"> </v>
      </c>
      <c r="P35" s="17">
        <v>30</v>
      </c>
      <c r="Q35" s="21"/>
      <c r="R35" s="67" t="str">
        <f ca="1">IFERROR(MATCH(INDIRECT("Q35"),'1.Locations'!B2:B32, 0) - 1," ")</f>
        <v xml:space="preserve"> </v>
      </c>
      <c r="S35" s="67" t="e">
        <f ca="1">IFERROR(IF(ISNUMBER(R35),INDEX('1.Locations'!D2:D32,R35 + 1),NA()),NA())</f>
        <v>#N/A</v>
      </c>
      <c r="T35" s="67" t="e">
        <f ca="1">IFERROR(IF(ISNUMBER(R35),INDEX('1.Locations'!E2:E32,R35 + 1),NA()),NA())</f>
        <v>#N/A</v>
      </c>
      <c r="U35" s="68" t="str">
        <f ca="1">IFERROR(IF(ISNUMBER(R35),INDEX('2.Distances'!C2:C962,R34*31+R35+ 1) +U34," ")," ")</f>
        <v xml:space="preserve"> </v>
      </c>
      <c r="V35" s="69" t="str">
        <f ca="1">IFERROR(IF(ISNUMBER(R35),INDEX('2.Distances'!D2:D962,R34*31+R35 + 1) +V34," ")," ")</f>
        <v xml:space="preserve"> </v>
      </c>
      <c r="W35" s="70" t="str">
        <f ca="1">IFERROR(IF(ISNUMBER(R35),INDEX('2.Distances'!D2:D962,R34*31+R35 + 1) +X34," ")," ")</f>
        <v xml:space="preserve"> </v>
      </c>
      <c r="X35" s="70" t="str">
        <f ca="1">IFERROR(IF(AND(R5&lt;&gt;R35,ISNUMBER(W35)),INDEX('1.Locations'!I2:I32,R35 + 1) + MAX(W35,INDEX('1.Locations'!F2:F32,R35 + 1))," ")," ")</f>
        <v xml:space="preserve"> </v>
      </c>
      <c r="Y35" s="69" t="str">
        <f ca="1">IFERROR(IF(R5 = R35, W35 - X5, X35 - X5)," ")</f>
        <v xml:space="preserve"> </v>
      </c>
      <c r="Z35" s="67" t="str">
        <f ca="1">IFERROR(IF(ISNUMBER(R35),INDEX('1.Locations'!L2:L32,R35 + 1) + Z34," ")," ")</f>
        <v xml:space="preserve"> </v>
      </c>
      <c r="AA35" s="67" t="str">
        <f ca="1">IFERROR(IF(ISNUMBER(R35),INDEX('1.Locations'!J2:J32,R35 + 1)," ")," ")</f>
        <v xml:space="preserve"> </v>
      </c>
      <c r="AB35" s="67" t="str">
        <f ca="1">IFERROR(IF(ISNUMBER(R35),INDEX('1.Locations'!K2:K32,R35 + 1)," ")," ")</f>
        <v xml:space="preserve"> </v>
      </c>
      <c r="AC35" s="67" t="str">
        <f ca="1">IFERROR(IF(ISNUMBER(R35),SUM(AA5:AA35) + SUM(AB36:AB36)," ")," ")</f>
        <v xml:space="preserve"> </v>
      </c>
      <c r="AE35" s="17">
        <v>30</v>
      </c>
      <c r="AF35" s="21"/>
      <c r="AG35" s="67" t="str">
        <f ca="1">IFERROR(MATCH(INDIRECT("AF35"),'1.Locations'!B2:B32, 0) - 1," ")</f>
        <v xml:space="preserve"> </v>
      </c>
      <c r="AH35" s="67" t="e">
        <f ca="1">IFERROR(IF(ISNUMBER(AG35),INDEX('1.Locations'!D2:D32,AG35 + 1),NA()),NA())</f>
        <v>#N/A</v>
      </c>
      <c r="AI35" s="67" t="e">
        <f ca="1">IFERROR(IF(ISNUMBER(AG35),INDEX('1.Locations'!E2:E32,AG35 + 1),NA()),NA())</f>
        <v>#N/A</v>
      </c>
      <c r="AJ35" s="68" t="str">
        <f ca="1">IFERROR(IF(ISNUMBER(AG35),INDEX('2.Distances'!C2:C962,AG34*31+AG35+ 1) +AJ34," ")," ")</f>
        <v xml:space="preserve"> </v>
      </c>
      <c r="AK35" s="69" t="str">
        <f ca="1">IFERROR(IF(ISNUMBER(AG35),INDEX('2.Distances'!D2:D962,AG34*31+AG35 + 1) +AK34," ")," ")</f>
        <v xml:space="preserve"> </v>
      </c>
      <c r="AL35" s="70" t="str">
        <f ca="1">IFERROR(IF(ISNUMBER(AG35),INDEX('2.Distances'!D2:D962,AG34*31+AG35 + 1) +AM34," ")," ")</f>
        <v xml:space="preserve"> </v>
      </c>
      <c r="AM35" s="70" t="str">
        <f ca="1">IFERROR(IF(AND(AG5&lt;&gt;AG35,ISNUMBER(AL35)),INDEX('1.Locations'!I2:I32,AG35 + 1) + MAX(AL35,INDEX('1.Locations'!F2:F32,AG35 + 1))," ")," ")</f>
        <v xml:space="preserve"> </v>
      </c>
      <c r="AN35" s="69" t="str">
        <f ca="1">IFERROR(IF(AG5 = AG35, AL35 - AM5, AM35 - AM5)," ")</f>
        <v xml:space="preserve"> </v>
      </c>
      <c r="AO35" s="67" t="str">
        <f ca="1">IFERROR(IF(ISNUMBER(AG35),INDEX('1.Locations'!L2:L32,AG35 + 1) + AO34," ")," ")</f>
        <v xml:space="preserve"> </v>
      </c>
      <c r="AP35" s="67" t="str">
        <f ca="1">IFERROR(IF(ISNUMBER(AG35),INDEX('1.Locations'!J2:J32,AG35 + 1)," ")," ")</f>
        <v xml:space="preserve"> </v>
      </c>
      <c r="AQ35" s="67" t="str">
        <f ca="1">IFERROR(IF(ISNUMBER(AG35),INDEX('1.Locations'!K2:K32,AG35 + 1)," ")," ")</f>
        <v xml:space="preserve"> </v>
      </c>
      <c r="AR35" s="67" t="str">
        <f ca="1">IFERROR(IF(ISNUMBER(AG35),SUM(AP5:AP35) + SUM(AQ36:AQ36)," ")," ")</f>
        <v xml:space="preserve"> </v>
      </c>
      <c r="AT35" s="17">
        <v>30</v>
      </c>
      <c r="AU35" s="21"/>
      <c r="AV35" s="67" t="str">
        <f ca="1">IFERROR(MATCH(INDIRECT("AU35"),'1.Locations'!B2:B32, 0) - 1," ")</f>
        <v xml:space="preserve"> </v>
      </c>
      <c r="AW35" s="67" t="e">
        <f ca="1">IFERROR(IF(ISNUMBER(AV35),INDEX('1.Locations'!D2:D32,AV35 + 1),NA()),NA())</f>
        <v>#N/A</v>
      </c>
      <c r="AX35" s="67" t="e">
        <f ca="1">IFERROR(IF(ISNUMBER(AV35),INDEX('1.Locations'!E2:E32,AV35 + 1),NA()),NA())</f>
        <v>#N/A</v>
      </c>
      <c r="AY35" s="68" t="str">
        <f ca="1">IFERROR(IF(ISNUMBER(AV35),INDEX('2.Distances'!C2:C962,AV34*31+AV35+ 1) +AY34," ")," ")</f>
        <v xml:space="preserve"> </v>
      </c>
      <c r="AZ35" s="69" t="str">
        <f ca="1">IFERROR(IF(ISNUMBER(AV35),INDEX('2.Distances'!D2:D962,AV34*31+AV35 + 1) +AZ34," ")," ")</f>
        <v xml:space="preserve"> </v>
      </c>
      <c r="BA35" s="70" t="str">
        <f ca="1">IFERROR(IF(ISNUMBER(AV35),INDEX('2.Distances'!D2:D962,AV34*31+AV35 + 1) +BB34," ")," ")</f>
        <v xml:space="preserve"> </v>
      </c>
      <c r="BB35" s="70" t="str">
        <f ca="1">IFERROR(IF(AND(AV5&lt;&gt;AV35,ISNUMBER(BA35)),INDEX('1.Locations'!I2:I32,AV35 + 1) + MAX(BA35,INDEX('1.Locations'!F2:F32,AV35 + 1))," ")," ")</f>
        <v xml:space="preserve"> </v>
      </c>
      <c r="BC35" s="69" t="str">
        <f ca="1">IFERROR(IF(AV5 = AV35, BA35 - BB5, BB35 - BB5)," ")</f>
        <v xml:space="preserve"> </v>
      </c>
      <c r="BD35" s="67" t="str">
        <f ca="1">IFERROR(IF(ISNUMBER(AV35),INDEX('1.Locations'!L2:L32,AV35 + 1) + BD34," ")," ")</f>
        <v xml:space="preserve"> </v>
      </c>
      <c r="BE35" s="67" t="str">
        <f ca="1">IFERROR(IF(ISNUMBER(AV35),INDEX('1.Locations'!J2:J32,AV35 + 1)," ")," ")</f>
        <v xml:space="preserve"> </v>
      </c>
      <c r="BF35" s="67" t="str">
        <f ca="1">IFERROR(IF(ISNUMBER(AV35),INDEX('1.Locations'!K2:K32,AV35 + 1)," ")," ")</f>
        <v xml:space="preserve"> </v>
      </c>
      <c r="BG35" s="67" t="str">
        <f ca="1">IFERROR(IF(ISNUMBER(AV35),SUM(BE5:BE35) + SUM(BF36:BF36)," ")," ")</f>
        <v xml:space="preserve"> </v>
      </c>
      <c r="BI35" s="17">
        <v>30</v>
      </c>
      <c r="BJ35" s="21"/>
      <c r="BK35" s="67" t="str">
        <f ca="1">IFERROR(MATCH(INDIRECT("BJ35"),'1.Locations'!B2:B32, 0) - 1," ")</f>
        <v xml:space="preserve"> </v>
      </c>
      <c r="BL35" s="67" t="e">
        <f ca="1">IFERROR(IF(ISNUMBER(BK35),INDEX('1.Locations'!D2:D32,BK35 + 1),NA()),NA())</f>
        <v>#N/A</v>
      </c>
      <c r="BM35" s="67" t="e">
        <f ca="1">IFERROR(IF(ISNUMBER(BK35),INDEX('1.Locations'!E2:E32,BK35 + 1),NA()),NA())</f>
        <v>#N/A</v>
      </c>
      <c r="BN35" s="68" t="str">
        <f ca="1">IFERROR(IF(ISNUMBER(BK35),INDEX('2.Distances'!C2:C962,BK34*31+BK35+ 1) +BN34," ")," ")</f>
        <v xml:space="preserve"> </v>
      </c>
      <c r="BO35" s="69" t="str">
        <f ca="1">IFERROR(IF(ISNUMBER(BK35),INDEX('2.Distances'!D2:D962,BK34*31+BK35 + 1) +BO34," ")," ")</f>
        <v xml:space="preserve"> </v>
      </c>
      <c r="BP35" s="70" t="str">
        <f ca="1">IFERROR(IF(ISNUMBER(BK35),INDEX('2.Distances'!D2:D962,BK34*31+BK35 + 1) +BQ34," ")," ")</f>
        <v xml:space="preserve"> </v>
      </c>
      <c r="BQ35" s="70" t="str">
        <f ca="1">IFERROR(IF(AND(BK5&lt;&gt;BK35,ISNUMBER(BP35)),INDEX('1.Locations'!I2:I32,BK35 + 1) + MAX(BP35,INDEX('1.Locations'!F2:F32,BK35 + 1))," ")," ")</f>
        <v xml:space="preserve"> </v>
      </c>
      <c r="BR35" s="69" t="str">
        <f ca="1">IFERROR(IF(BK5 = BK35, BP35 - BQ5, BQ35 - BQ5)," ")</f>
        <v xml:space="preserve"> </v>
      </c>
      <c r="BS35" s="67" t="str">
        <f ca="1">IFERROR(IF(ISNUMBER(BK35),INDEX('1.Locations'!L2:L32,BK35 + 1) + BS34," ")," ")</f>
        <v xml:space="preserve"> </v>
      </c>
      <c r="BT35" s="67" t="str">
        <f ca="1">IFERROR(IF(ISNUMBER(BK35),INDEX('1.Locations'!J2:J32,BK35 + 1)," ")," ")</f>
        <v xml:space="preserve"> </v>
      </c>
      <c r="BU35" s="67" t="str">
        <f ca="1">IFERROR(IF(ISNUMBER(BK35),INDEX('1.Locations'!K2:K32,BK35 + 1)," ")," ")</f>
        <v xml:space="preserve"> </v>
      </c>
      <c r="BV35" s="67" t="str">
        <f ca="1">IFERROR(IF(ISNUMBER(BK35),SUM(BT5:BT35) + SUM(BU36:BU36)," ")," ")</f>
        <v xml:space="preserve"> </v>
      </c>
      <c r="BX35" s="17">
        <v>30</v>
      </c>
      <c r="BY35" s="21"/>
      <c r="BZ35" s="67" t="str">
        <f ca="1">IFERROR(MATCH(INDIRECT("BY35"),'1.Locations'!B2:B32, 0) - 1," ")</f>
        <v xml:space="preserve"> </v>
      </c>
      <c r="CA35" s="67" t="e">
        <f ca="1">IFERROR(IF(ISNUMBER(BZ35),INDEX('1.Locations'!D2:D32,BZ35 + 1),NA()),NA())</f>
        <v>#N/A</v>
      </c>
      <c r="CB35" s="67" t="e">
        <f ca="1">IFERROR(IF(ISNUMBER(BZ35),INDEX('1.Locations'!E2:E32,BZ35 + 1),NA()),NA())</f>
        <v>#N/A</v>
      </c>
      <c r="CC35" s="68" t="str">
        <f ca="1">IFERROR(IF(ISNUMBER(BZ35),INDEX('2.Distances'!C2:C962,BZ34*31+BZ35+ 1) +CC34," ")," ")</f>
        <v xml:space="preserve"> </v>
      </c>
      <c r="CD35" s="69" t="str">
        <f ca="1">IFERROR(IF(ISNUMBER(BZ35),INDEX('2.Distances'!D2:D962,BZ34*31+BZ35 + 1) +CD34," ")," ")</f>
        <v xml:space="preserve"> </v>
      </c>
      <c r="CE35" s="70" t="str">
        <f ca="1">IFERROR(IF(ISNUMBER(BZ35),INDEX('2.Distances'!D2:D962,BZ34*31+BZ35 + 1) +CF34," ")," ")</f>
        <v xml:space="preserve"> </v>
      </c>
      <c r="CF35" s="70" t="str">
        <f ca="1">IFERROR(IF(AND(BZ5&lt;&gt;BZ35,ISNUMBER(CE35)),INDEX('1.Locations'!I2:I32,BZ35 + 1) + MAX(CE35,INDEX('1.Locations'!F2:F32,BZ35 + 1))," ")," ")</f>
        <v xml:space="preserve"> </v>
      </c>
      <c r="CG35" s="69" t="str">
        <f ca="1">IFERROR(IF(BZ5 = BZ35, CE35 - CF5, CF35 - CF5)," ")</f>
        <v xml:space="preserve"> </v>
      </c>
      <c r="CH35" s="67" t="str">
        <f ca="1">IFERROR(IF(ISNUMBER(BZ35),INDEX('1.Locations'!L2:L32,BZ35 + 1) + CH34," ")," ")</f>
        <v xml:space="preserve"> </v>
      </c>
      <c r="CI35" s="67" t="str">
        <f ca="1">IFERROR(IF(ISNUMBER(BZ35),INDEX('1.Locations'!J2:J32,BZ35 + 1)," ")," ")</f>
        <v xml:space="preserve"> </v>
      </c>
      <c r="CJ35" s="67" t="str">
        <f ca="1">IFERROR(IF(ISNUMBER(BZ35),INDEX('1.Locations'!K2:K32,BZ35 + 1)," ")," ")</f>
        <v xml:space="preserve"> </v>
      </c>
      <c r="CK35" s="67" t="str">
        <f ca="1">IFERROR(IF(ISNUMBER(BZ35),SUM(CI5:CI35) + SUM(CJ36:CJ36)," ")," ")</f>
        <v xml:space="preserve"> </v>
      </c>
      <c r="CM35" s="17">
        <v>30</v>
      </c>
      <c r="CN35" s="21"/>
      <c r="CO35" s="67" t="str">
        <f ca="1">IFERROR(MATCH(INDIRECT("CN35"),'1.Locations'!B2:B32, 0) - 1," ")</f>
        <v xml:space="preserve"> </v>
      </c>
      <c r="CP35" s="67" t="e">
        <f ca="1">IFERROR(IF(ISNUMBER(CO35),INDEX('1.Locations'!D2:D32,CO35 + 1),NA()),NA())</f>
        <v>#N/A</v>
      </c>
      <c r="CQ35" s="67" t="e">
        <f ca="1">IFERROR(IF(ISNUMBER(CO35),INDEX('1.Locations'!E2:E32,CO35 + 1),NA()),NA())</f>
        <v>#N/A</v>
      </c>
      <c r="CR35" s="68" t="str">
        <f ca="1">IFERROR(IF(ISNUMBER(CO35),INDEX('2.Distances'!C2:C962,CO34*31+CO35+ 1) +CR34," ")," ")</f>
        <v xml:space="preserve"> </v>
      </c>
      <c r="CS35" s="69" t="str">
        <f ca="1">IFERROR(IF(ISNUMBER(CO35),INDEX('2.Distances'!D2:D962,CO34*31+CO35 + 1) +CS34," ")," ")</f>
        <v xml:space="preserve"> </v>
      </c>
      <c r="CT35" s="70" t="str">
        <f ca="1">IFERROR(IF(ISNUMBER(CO35),INDEX('2.Distances'!D2:D962,CO34*31+CO35 + 1) +CU34," ")," ")</f>
        <v xml:space="preserve"> </v>
      </c>
      <c r="CU35" s="70" t="str">
        <f ca="1">IFERROR(IF(AND(CO5&lt;&gt;CO35,ISNUMBER(CT35)),INDEX('1.Locations'!I2:I32,CO35 + 1) + MAX(CT35,INDEX('1.Locations'!F2:F32,CO35 + 1))," ")," ")</f>
        <v xml:space="preserve"> </v>
      </c>
      <c r="CV35" s="69" t="str">
        <f ca="1">IFERROR(IF(CO5 = CO35, CT35 - CU5, CU35 - CU5)," ")</f>
        <v xml:space="preserve"> </v>
      </c>
      <c r="CW35" s="67" t="str">
        <f ca="1">IFERROR(IF(ISNUMBER(CO35),INDEX('1.Locations'!L2:L32,CO35 + 1) + CW34," ")," ")</f>
        <v xml:space="preserve"> </v>
      </c>
      <c r="CX35" s="67" t="str">
        <f ca="1">IFERROR(IF(ISNUMBER(CO35),INDEX('1.Locations'!J2:J32,CO35 + 1)," ")," ")</f>
        <v xml:space="preserve"> </v>
      </c>
      <c r="CY35" s="67" t="str">
        <f ca="1">IFERROR(IF(ISNUMBER(CO35),INDEX('1.Locations'!K2:K32,CO35 + 1)," ")," ")</f>
        <v xml:space="preserve"> </v>
      </c>
      <c r="CZ35" s="67" t="str">
        <f ca="1">IFERROR(IF(ISNUMBER(CO35),SUM(CX5:CX35) + SUM(CY36:CY36)," ")," ")</f>
        <v xml:space="preserve"> </v>
      </c>
      <c r="DB35" s="17">
        <v>30</v>
      </c>
      <c r="DC35" s="21"/>
      <c r="DD35" s="67" t="str">
        <f ca="1">IFERROR(MATCH(INDIRECT("DC35"),'1.Locations'!B2:B32, 0) - 1," ")</f>
        <v xml:space="preserve"> </v>
      </c>
      <c r="DE35" s="67" t="e">
        <f ca="1">IFERROR(IF(ISNUMBER(DD35),INDEX('1.Locations'!D2:D32,DD35 + 1),NA()),NA())</f>
        <v>#N/A</v>
      </c>
      <c r="DF35" s="67" t="e">
        <f ca="1">IFERROR(IF(ISNUMBER(DD35),INDEX('1.Locations'!E2:E32,DD35 + 1),NA()),NA())</f>
        <v>#N/A</v>
      </c>
      <c r="DG35" s="68" t="str">
        <f ca="1">IFERROR(IF(ISNUMBER(DD35),INDEX('2.Distances'!C2:C962,DD34*31+DD35+ 1) +DG34," ")," ")</f>
        <v xml:space="preserve"> </v>
      </c>
      <c r="DH35" s="69" t="str">
        <f ca="1">IFERROR(IF(ISNUMBER(DD35),INDEX('2.Distances'!D2:D962,DD34*31+DD35 + 1) +DH34," ")," ")</f>
        <v xml:space="preserve"> </v>
      </c>
      <c r="DI35" s="70" t="str">
        <f ca="1">IFERROR(IF(ISNUMBER(DD35),INDEX('2.Distances'!D2:D962,DD34*31+DD35 + 1) +DJ34," ")," ")</f>
        <v xml:space="preserve"> </v>
      </c>
      <c r="DJ35" s="70" t="str">
        <f ca="1">IFERROR(IF(AND(DD5&lt;&gt;DD35,ISNUMBER(DI35)),INDEX('1.Locations'!I2:I32,DD35 + 1) + MAX(DI35,INDEX('1.Locations'!F2:F32,DD35 + 1))," ")," ")</f>
        <v xml:space="preserve"> </v>
      </c>
      <c r="DK35" s="69" t="str">
        <f ca="1">IFERROR(IF(DD5 = DD35, DI35 - DJ5, DJ35 - DJ5)," ")</f>
        <v xml:space="preserve"> </v>
      </c>
      <c r="DL35" s="67" t="str">
        <f ca="1">IFERROR(IF(ISNUMBER(DD35),INDEX('1.Locations'!L2:L32,DD35 + 1) + DL34," ")," ")</f>
        <v xml:space="preserve"> </v>
      </c>
      <c r="DM35" s="67" t="str">
        <f ca="1">IFERROR(IF(ISNUMBER(DD35),INDEX('1.Locations'!J2:J32,DD35 + 1)," ")," ")</f>
        <v xml:space="preserve"> </v>
      </c>
      <c r="DN35" s="67" t="str">
        <f ca="1">IFERROR(IF(ISNUMBER(DD35),INDEX('1.Locations'!K2:K32,DD35 + 1)," ")," ")</f>
        <v xml:space="preserve"> </v>
      </c>
      <c r="DO35" s="67" t="str">
        <f ca="1">IFERROR(IF(ISNUMBER(DD35),SUM(DM5:DM35) + SUM(DN36:DN36)," ")," ")</f>
        <v xml:space="preserve"> </v>
      </c>
      <c r="DQ35" s="17">
        <v>30</v>
      </c>
      <c r="DR35" s="21"/>
      <c r="DS35" s="67" t="str">
        <f ca="1">IFERROR(MATCH(INDIRECT("DR35"),'1.Locations'!B2:B32, 0) - 1," ")</f>
        <v xml:space="preserve"> </v>
      </c>
      <c r="DT35" s="67" t="e">
        <f ca="1">IFERROR(IF(ISNUMBER(DS35),INDEX('1.Locations'!D2:D32,DS35 + 1),NA()),NA())</f>
        <v>#N/A</v>
      </c>
      <c r="DU35" s="67" t="e">
        <f ca="1">IFERROR(IF(ISNUMBER(DS35),INDEX('1.Locations'!E2:E32,DS35 + 1),NA()),NA())</f>
        <v>#N/A</v>
      </c>
      <c r="DV35" s="68" t="str">
        <f ca="1">IFERROR(IF(ISNUMBER(DS35),INDEX('2.Distances'!C2:C962,DS34*31+DS35+ 1) +DV34," ")," ")</f>
        <v xml:space="preserve"> </v>
      </c>
      <c r="DW35" s="69" t="str">
        <f ca="1">IFERROR(IF(ISNUMBER(DS35),INDEX('2.Distances'!D2:D962,DS34*31+DS35 + 1) +DW34," ")," ")</f>
        <v xml:space="preserve"> </v>
      </c>
      <c r="DX35" s="70" t="str">
        <f ca="1">IFERROR(IF(ISNUMBER(DS35),INDEX('2.Distances'!D2:D962,DS34*31+DS35 + 1) +DY34," ")," ")</f>
        <v xml:space="preserve"> </v>
      </c>
      <c r="DY35" s="70" t="str">
        <f ca="1">IFERROR(IF(AND(DS5&lt;&gt;DS35,ISNUMBER(DX35)),INDEX('1.Locations'!I2:I32,DS35 + 1) + MAX(DX35,INDEX('1.Locations'!F2:F32,DS35 + 1))," ")," ")</f>
        <v xml:space="preserve"> </v>
      </c>
      <c r="DZ35" s="69" t="str">
        <f ca="1">IFERROR(IF(DS5 = DS35, DX35 - DY5, DY35 - DY5)," ")</f>
        <v xml:space="preserve"> </v>
      </c>
      <c r="EA35" s="67" t="str">
        <f ca="1">IFERROR(IF(ISNUMBER(DS35),INDEX('1.Locations'!L2:L32,DS35 + 1) + EA34," ")," ")</f>
        <v xml:space="preserve"> </v>
      </c>
      <c r="EB35" s="67" t="str">
        <f ca="1">IFERROR(IF(ISNUMBER(DS35),INDEX('1.Locations'!J2:J32,DS35 + 1)," ")," ")</f>
        <v xml:space="preserve"> </v>
      </c>
      <c r="EC35" s="67" t="str">
        <f ca="1">IFERROR(IF(ISNUMBER(DS35),INDEX('1.Locations'!K2:K32,DS35 + 1)," ")," ")</f>
        <v xml:space="preserve"> </v>
      </c>
      <c r="ED35" s="67" t="str">
        <f ca="1">IFERROR(IF(ISNUMBER(DS35),SUM(EB5:EB35) + SUM(EC36:EC36)," ")," ")</f>
        <v xml:space="preserve"> </v>
      </c>
      <c r="EF35" s="17">
        <v>30</v>
      </c>
      <c r="EG35" s="21"/>
      <c r="EH35" s="67" t="str">
        <f ca="1">IFERROR(MATCH(INDIRECT("EG35"),'1.Locations'!B2:B32, 0) - 1," ")</f>
        <v xml:space="preserve"> </v>
      </c>
      <c r="EI35" s="67" t="e">
        <f ca="1">IFERROR(IF(ISNUMBER(EH35),INDEX('1.Locations'!D2:D32,EH35 + 1),NA()),NA())</f>
        <v>#N/A</v>
      </c>
      <c r="EJ35" s="67" t="e">
        <f ca="1">IFERROR(IF(ISNUMBER(EH35),INDEX('1.Locations'!E2:E32,EH35 + 1),NA()),NA())</f>
        <v>#N/A</v>
      </c>
      <c r="EK35" s="68" t="str">
        <f ca="1">IFERROR(IF(ISNUMBER(EH35),INDEX('2.Distances'!C2:C962,EH34*31+EH35+ 1) +EK34," ")," ")</f>
        <v xml:space="preserve"> </v>
      </c>
      <c r="EL35" s="69" t="str">
        <f ca="1">IFERROR(IF(ISNUMBER(EH35),INDEX('2.Distances'!D2:D962,EH34*31+EH35 + 1) +EL34," ")," ")</f>
        <v xml:space="preserve"> </v>
      </c>
      <c r="EM35" s="70" t="str">
        <f ca="1">IFERROR(IF(ISNUMBER(EH35),INDEX('2.Distances'!D2:D962,EH34*31+EH35 + 1) +EN34," ")," ")</f>
        <v xml:space="preserve"> </v>
      </c>
      <c r="EN35" s="70" t="str">
        <f ca="1">IFERROR(IF(AND(EH5&lt;&gt;EH35,ISNUMBER(EM35)),INDEX('1.Locations'!I2:I32,EH35 + 1) + MAX(EM35,INDEX('1.Locations'!F2:F32,EH35 + 1))," ")," ")</f>
        <v xml:space="preserve"> </v>
      </c>
      <c r="EO35" s="69" t="str">
        <f ca="1">IFERROR(IF(EH5 = EH35, EM35 - EN5, EN35 - EN5)," ")</f>
        <v xml:space="preserve"> </v>
      </c>
      <c r="EP35" s="67" t="str">
        <f ca="1">IFERROR(IF(ISNUMBER(EH35),INDEX('1.Locations'!L2:L32,EH35 + 1) + EP34," ")," ")</f>
        <v xml:space="preserve"> </v>
      </c>
      <c r="EQ35" s="67" t="str">
        <f ca="1">IFERROR(IF(ISNUMBER(EH35),INDEX('1.Locations'!J2:J32,EH35 + 1)," ")," ")</f>
        <v xml:space="preserve"> </v>
      </c>
      <c r="ER35" s="67" t="str">
        <f ca="1">IFERROR(IF(ISNUMBER(EH35),INDEX('1.Locations'!K2:K32,EH35 + 1)," ")," ")</f>
        <v xml:space="preserve"> </v>
      </c>
      <c r="ES35" s="67" t="str">
        <f ca="1">IFERROR(IF(ISNUMBER(EH35),SUM(EQ5:EQ35) + SUM(ER36:ER36)," ")," ")</f>
        <v xml:space="preserve"> </v>
      </c>
    </row>
    <row r="36" spans="1:149" x14ac:dyDescent="0.25">
      <c r="A36" s="16">
        <v>31</v>
      </c>
      <c r="B36" s="15"/>
      <c r="C36" s="63" t="str">
        <f ca="1">IFERROR(MATCH(INDIRECT("B36"),'1.Locations'!B2:B32, 0) - 1," ")</f>
        <v xml:space="preserve"> </v>
      </c>
      <c r="D36" s="63" t="e">
        <f ca="1">IFERROR(IF(ISNUMBER(C36),INDEX('1.Locations'!D2:D32,C36 + 1),NA()),NA())</f>
        <v>#N/A</v>
      </c>
      <c r="E36" s="63" t="e">
        <f ca="1">IFERROR(IF(ISNUMBER(C36),INDEX('1.Locations'!E2:E32,C36 + 1),NA()),NA())</f>
        <v>#N/A</v>
      </c>
      <c r="F36" s="64" t="str">
        <f ca="1">IFERROR(IF(ISNUMBER(C36),INDEX('2.Distances'!C2:C962,C35*31+C36+ 1) +F35," ")," ")</f>
        <v xml:space="preserve"> </v>
      </c>
      <c r="G36" s="65" t="str">
        <f ca="1">IFERROR(IF(ISNUMBER(C36),INDEX('2.Distances'!D2:D962,C35*31+C36 + 1) +G35," ")," ")</f>
        <v xml:space="preserve"> </v>
      </c>
      <c r="H36" s="66" t="str">
        <f ca="1">IFERROR(IF(ISNUMBER(C36),INDEX('2.Distances'!D2:D962,C35*31+C36 + 1) +I35," ")," ")</f>
        <v xml:space="preserve"> </v>
      </c>
      <c r="I36" s="66" t="str">
        <f ca="1">IFERROR(IF(AND(C5&lt;&gt;C36,ISNUMBER(H36)),INDEX('1.Locations'!I2:I32,C36 + 1) + MAX(H36,INDEX('1.Locations'!F2:F32,C36 + 1))," ")," ")</f>
        <v xml:space="preserve"> </v>
      </c>
      <c r="J36" s="65" t="str">
        <f ca="1">IFERROR(IF(C5 = C36, H36 - I5, I36 - I5)," ")</f>
        <v xml:space="preserve"> </v>
      </c>
      <c r="K36" s="63" t="str">
        <f ca="1">IFERROR(IF(ISNUMBER(C36),INDEX('1.Locations'!L2:L32,C36 + 1) + K35," ")," ")</f>
        <v xml:space="preserve"> </v>
      </c>
      <c r="L36" s="63" t="str">
        <f ca="1">IFERROR(IF(ISNUMBER(C36),INDEX('1.Locations'!J2:J32,C36 + 1)," ")," ")</f>
        <v xml:space="preserve"> </v>
      </c>
      <c r="M36" s="63" t="str">
        <f ca="1">IFERROR(IF(ISNUMBER(C36),INDEX('1.Locations'!K2:K32,C36 + 1)," ")," ")</f>
        <v xml:space="preserve"> </v>
      </c>
      <c r="N36" s="63" t="str">
        <f ca="1">IFERROR(IF(ISNUMBER(C36),SUM(L5:L36) + SUM(M36:M37)," ")," ")</f>
        <v xml:space="preserve"> </v>
      </c>
      <c r="P36" s="16">
        <v>31</v>
      </c>
      <c r="Q36" s="15"/>
      <c r="R36" s="63" t="str">
        <f ca="1">IFERROR(MATCH(INDIRECT("Q36"),'1.Locations'!B2:B32, 0) - 1," ")</f>
        <v xml:space="preserve"> </v>
      </c>
      <c r="S36" s="63" t="e">
        <f ca="1">IFERROR(IF(ISNUMBER(R36),INDEX('1.Locations'!D2:D32,R36 + 1),NA()),NA())</f>
        <v>#N/A</v>
      </c>
      <c r="T36" s="63" t="e">
        <f ca="1">IFERROR(IF(ISNUMBER(R36),INDEX('1.Locations'!E2:E32,R36 + 1),NA()),NA())</f>
        <v>#N/A</v>
      </c>
      <c r="U36" s="64" t="str">
        <f ca="1">IFERROR(IF(ISNUMBER(R36),INDEX('2.Distances'!C2:C962,R35*31+R36+ 1) +U35," ")," ")</f>
        <v xml:space="preserve"> </v>
      </c>
      <c r="V36" s="65" t="str">
        <f ca="1">IFERROR(IF(ISNUMBER(R36),INDEX('2.Distances'!D2:D962,R35*31+R36 + 1) +V35," ")," ")</f>
        <v xml:space="preserve"> </v>
      </c>
      <c r="W36" s="66" t="str">
        <f ca="1">IFERROR(IF(ISNUMBER(R36),INDEX('2.Distances'!D2:D962,R35*31+R36 + 1) +X35," ")," ")</f>
        <v xml:space="preserve"> </v>
      </c>
      <c r="X36" s="66" t="str">
        <f ca="1">IFERROR(IF(AND(R5&lt;&gt;R36,ISNUMBER(W36)),INDEX('1.Locations'!I2:I32,R36 + 1) + MAX(W36,INDEX('1.Locations'!F2:F32,R36 + 1))," ")," ")</f>
        <v xml:space="preserve"> </v>
      </c>
      <c r="Y36" s="65" t="str">
        <f ca="1">IFERROR(IF(R5 = R36, W36 - X5, X36 - X5)," ")</f>
        <v xml:space="preserve"> </v>
      </c>
      <c r="Z36" s="63" t="str">
        <f ca="1">IFERROR(IF(ISNUMBER(R36),INDEX('1.Locations'!L2:L32,R36 + 1) + Z35," ")," ")</f>
        <v xml:space="preserve"> </v>
      </c>
      <c r="AA36" s="63" t="str">
        <f ca="1">IFERROR(IF(ISNUMBER(R36),INDEX('1.Locations'!J2:J32,R36 + 1)," ")," ")</f>
        <v xml:space="preserve"> </v>
      </c>
      <c r="AB36" s="63" t="str">
        <f ca="1">IFERROR(IF(ISNUMBER(R36),INDEX('1.Locations'!K2:K32,R36 + 1)," ")," ")</f>
        <v xml:space="preserve"> </v>
      </c>
      <c r="AC36" s="63" t="str">
        <f ca="1">IFERROR(IF(ISNUMBER(R36),SUM(AA5:AA36) + SUM(AB36:AB37)," ")," ")</f>
        <v xml:space="preserve"> </v>
      </c>
      <c r="AE36" s="16">
        <v>31</v>
      </c>
      <c r="AF36" s="15"/>
      <c r="AG36" s="63" t="str">
        <f ca="1">IFERROR(MATCH(INDIRECT("AF36"),'1.Locations'!B2:B32, 0) - 1," ")</f>
        <v xml:space="preserve"> </v>
      </c>
      <c r="AH36" s="63" t="e">
        <f ca="1">IFERROR(IF(ISNUMBER(AG36),INDEX('1.Locations'!D2:D32,AG36 + 1),NA()),NA())</f>
        <v>#N/A</v>
      </c>
      <c r="AI36" s="63" t="e">
        <f ca="1">IFERROR(IF(ISNUMBER(AG36),INDEX('1.Locations'!E2:E32,AG36 + 1),NA()),NA())</f>
        <v>#N/A</v>
      </c>
      <c r="AJ36" s="64" t="str">
        <f ca="1">IFERROR(IF(ISNUMBER(AG36),INDEX('2.Distances'!C2:C962,AG35*31+AG36+ 1) +AJ35," ")," ")</f>
        <v xml:space="preserve"> </v>
      </c>
      <c r="AK36" s="65" t="str">
        <f ca="1">IFERROR(IF(ISNUMBER(AG36),INDEX('2.Distances'!D2:D962,AG35*31+AG36 + 1) +AK35," ")," ")</f>
        <v xml:space="preserve"> </v>
      </c>
      <c r="AL36" s="66" t="str">
        <f ca="1">IFERROR(IF(ISNUMBER(AG36),INDEX('2.Distances'!D2:D962,AG35*31+AG36 + 1) +AM35," ")," ")</f>
        <v xml:space="preserve"> </v>
      </c>
      <c r="AM36" s="66" t="str">
        <f ca="1">IFERROR(IF(AND(AG5&lt;&gt;AG36,ISNUMBER(AL36)),INDEX('1.Locations'!I2:I32,AG36 + 1) + MAX(AL36,INDEX('1.Locations'!F2:F32,AG36 + 1))," ")," ")</f>
        <v xml:space="preserve"> </v>
      </c>
      <c r="AN36" s="65" t="str">
        <f ca="1">IFERROR(IF(AG5 = AG36, AL36 - AM5, AM36 - AM5)," ")</f>
        <v xml:space="preserve"> </v>
      </c>
      <c r="AO36" s="63" t="str">
        <f ca="1">IFERROR(IF(ISNUMBER(AG36),INDEX('1.Locations'!L2:L32,AG36 + 1) + AO35," ")," ")</f>
        <v xml:space="preserve"> </v>
      </c>
      <c r="AP36" s="63" t="str">
        <f ca="1">IFERROR(IF(ISNUMBER(AG36),INDEX('1.Locations'!J2:J32,AG36 + 1)," ")," ")</f>
        <v xml:space="preserve"> </v>
      </c>
      <c r="AQ36" s="63" t="str">
        <f ca="1">IFERROR(IF(ISNUMBER(AG36),INDEX('1.Locations'!K2:K32,AG36 + 1)," ")," ")</f>
        <v xml:space="preserve"> </v>
      </c>
      <c r="AR36" s="63" t="str">
        <f ca="1">IFERROR(IF(ISNUMBER(AG36),SUM(AP5:AP36) + SUM(AQ36:AQ37)," ")," ")</f>
        <v xml:space="preserve"> </v>
      </c>
      <c r="AT36" s="16">
        <v>31</v>
      </c>
      <c r="AU36" s="15"/>
      <c r="AV36" s="63" t="str">
        <f ca="1">IFERROR(MATCH(INDIRECT("AU36"),'1.Locations'!B2:B32, 0) - 1," ")</f>
        <v xml:space="preserve"> </v>
      </c>
      <c r="AW36" s="63" t="e">
        <f ca="1">IFERROR(IF(ISNUMBER(AV36),INDEX('1.Locations'!D2:D32,AV36 + 1),NA()),NA())</f>
        <v>#N/A</v>
      </c>
      <c r="AX36" s="63" t="e">
        <f ca="1">IFERROR(IF(ISNUMBER(AV36),INDEX('1.Locations'!E2:E32,AV36 + 1),NA()),NA())</f>
        <v>#N/A</v>
      </c>
      <c r="AY36" s="64" t="str">
        <f ca="1">IFERROR(IF(ISNUMBER(AV36),INDEX('2.Distances'!C2:C962,AV35*31+AV36+ 1) +AY35," ")," ")</f>
        <v xml:space="preserve"> </v>
      </c>
      <c r="AZ36" s="65" t="str">
        <f ca="1">IFERROR(IF(ISNUMBER(AV36),INDEX('2.Distances'!D2:D962,AV35*31+AV36 + 1) +AZ35," ")," ")</f>
        <v xml:space="preserve"> </v>
      </c>
      <c r="BA36" s="66" t="str">
        <f ca="1">IFERROR(IF(ISNUMBER(AV36),INDEX('2.Distances'!D2:D962,AV35*31+AV36 + 1) +BB35," ")," ")</f>
        <v xml:space="preserve"> </v>
      </c>
      <c r="BB36" s="66" t="str">
        <f ca="1">IFERROR(IF(AND(AV5&lt;&gt;AV36,ISNUMBER(BA36)),INDEX('1.Locations'!I2:I32,AV36 + 1) + MAX(BA36,INDEX('1.Locations'!F2:F32,AV36 + 1))," ")," ")</f>
        <v xml:space="preserve"> </v>
      </c>
      <c r="BC36" s="65" t="str">
        <f ca="1">IFERROR(IF(AV5 = AV36, BA36 - BB5, BB36 - BB5)," ")</f>
        <v xml:space="preserve"> </v>
      </c>
      <c r="BD36" s="63" t="str">
        <f ca="1">IFERROR(IF(ISNUMBER(AV36),INDEX('1.Locations'!L2:L32,AV36 + 1) + BD35," ")," ")</f>
        <v xml:space="preserve"> </v>
      </c>
      <c r="BE36" s="63" t="str">
        <f ca="1">IFERROR(IF(ISNUMBER(AV36),INDEX('1.Locations'!J2:J32,AV36 + 1)," ")," ")</f>
        <v xml:space="preserve"> </v>
      </c>
      <c r="BF36" s="63" t="str">
        <f ca="1">IFERROR(IF(ISNUMBER(AV36),INDEX('1.Locations'!K2:K32,AV36 + 1)," ")," ")</f>
        <v xml:space="preserve"> </v>
      </c>
      <c r="BG36" s="63" t="str">
        <f ca="1">IFERROR(IF(ISNUMBER(AV36),SUM(BE5:BE36) + SUM(BF36:BF37)," ")," ")</f>
        <v xml:space="preserve"> </v>
      </c>
      <c r="BI36" s="16">
        <v>31</v>
      </c>
      <c r="BJ36" s="15"/>
      <c r="BK36" s="63" t="str">
        <f ca="1">IFERROR(MATCH(INDIRECT("BJ36"),'1.Locations'!B2:B32, 0) - 1," ")</f>
        <v xml:space="preserve"> </v>
      </c>
      <c r="BL36" s="63" t="e">
        <f ca="1">IFERROR(IF(ISNUMBER(BK36),INDEX('1.Locations'!D2:D32,BK36 + 1),NA()),NA())</f>
        <v>#N/A</v>
      </c>
      <c r="BM36" s="63" t="e">
        <f ca="1">IFERROR(IF(ISNUMBER(BK36),INDEX('1.Locations'!E2:E32,BK36 + 1),NA()),NA())</f>
        <v>#N/A</v>
      </c>
      <c r="BN36" s="64" t="str">
        <f ca="1">IFERROR(IF(ISNUMBER(BK36),INDEX('2.Distances'!C2:C962,BK35*31+BK36+ 1) +BN35," ")," ")</f>
        <v xml:space="preserve"> </v>
      </c>
      <c r="BO36" s="65" t="str">
        <f ca="1">IFERROR(IF(ISNUMBER(BK36),INDEX('2.Distances'!D2:D962,BK35*31+BK36 + 1) +BO35," ")," ")</f>
        <v xml:space="preserve"> </v>
      </c>
      <c r="BP36" s="66" t="str">
        <f ca="1">IFERROR(IF(ISNUMBER(BK36),INDEX('2.Distances'!D2:D962,BK35*31+BK36 + 1) +BQ35," ")," ")</f>
        <v xml:space="preserve"> </v>
      </c>
      <c r="BQ36" s="66" t="str">
        <f ca="1">IFERROR(IF(AND(BK5&lt;&gt;BK36,ISNUMBER(BP36)),INDEX('1.Locations'!I2:I32,BK36 + 1) + MAX(BP36,INDEX('1.Locations'!F2:F32,BK36 + 1))," ")," ")</f>
        <v xml:space="preserve"> </v>
      </c>
      <c r="BR36" s="65" t="str">
        <f ca="1">IFERROR(IF(BK5 = BK36, BP36 - BQ5, BQ36 - BQ5)," ")</f>
        <v xml:space="preserve"> </v>
      </c>
      <c r="BS36" s="63" t="str">
        <f ca="1">IFERROR(IF(ISNUMBER(BK36),INDEX('1.Locations'!L2:L32,BK36 + 1) + BS35," ")," ")</f>
        <v xml:space="preserve"> </v>
      </c>
      <c r="BT36" s="63" t="str">
        <f ca="1">IFERROR(IF(ISNUMBER(BK36),INDEX('1.Locations'!J2:J32,BK36 + 1)," ")," ")</f>
        <v xml:space="preserve"> </v>
      </c>
      <c r="BU36" s="63" t="str">
        <f ca="1">IFERROR(IF(ISNUMBER(BK36),INDEX('1.Locations'!K2:K32,BK36 + 1)," ")," ")</f>
        <v xml:space="preserve"> </v>
      </c>
      <c r="BV36" s="63" t="str">
        <f ca="1">IFERROR(IF(ISNUMBER(BK36),SUM(BT5:BT36) + SUM(BU36:BU37)," ")," ")</f>
        <v xml:space="preserve"> </v>
      </c>
      <c r="BX36" s="16">
        <v>31</v>
      </c>
      <c r="BY36" s="15"/>
      <c r="BZ36" s="63" t="str">
        <f ca="1">IFERROR(MATCH(INDIRECT("BY36"),'1.Locations'!B2:B32, 0) - 1," ")</f>
        <v xml:space="preserve"> </v>
      </c>
      <c r="CA36" s="63" t="e">
        <f ca="1">IFERROR(IF(ISNUMBER(BZ36),INDEX('1.Locations'!D2:D32,BZ36 + 1),NA()),NA())</f>
        <v>#N/A</v>
      </c>
      <c r="CB36" s="63" t="e">
        <f ca="1">IFERROR(IF(ISNUMBER(BZ36),INDEX('1.Locations'!E2:E32,BZ36 + 1),NA()),NA())</f>
        <v>#N/A</v>
      </c>
      <c r="CC36" s="64" t="str">
        <f ca="1">IFERROR(IF(ISNUMBER(BZ36),INDEX('2.Distances'!C2:C962,BZ35*31+BZ36+ 1) +CC35," ")," ")</f>
        <v xml:space="preserve"> </v>
      </c>
      <c r="CD36" s="65" t="str">
        <f ca="1">IFERROR(IF(ISNUMBER(BZ36),INDEX('2.Distances'!D2:D962,BZ35*31+BZ36 + 1) +CD35," ")," ")</f>
        <v xml:space="preserve"> </v>
      </c>
      <c r="CE36" s="66" t="str">
        <f ca="1">IFERROR(IF(ISNUMBER(BZ36),INDEX('2.Distances'!D2:D962,BZ35*31+BZ36 + 1) +CF35," ")," ")</f>
        <v xml:space="preserve"> </v>
      </c>
      <c r="CF36" s="66" t="str">
        <f ca="1">IFERROR(IF(AND(BZ5&lt;&gt;BZ36,ISNUMBER(CE36)),INDEX('1.Locations'!I2:I32,BZ36 + 1) + MAX(CE36,INDEX('1.Locations'!F2:F32,BZ36 + 1))," ")," ")</f>
        <v xml:space="preserve"> </v>
      </c>
      <c r="CG36" s="65" t="str">
        <f ca="1">IFERROR(IF(BZ5 = BZ36, CE36 - CF5, CF36 - CF5)," ")</f>
        <v xml:space="preserve"> </v>
      </c>
      <c r="CH36" s="63" t="str">
        <f ca="1">IFERROR(IF(ISNUMBER(BZ36),INDEX('1.Locations'!L2:L32,BZ36 + 1) + CH35," ")," ")</f>
        <v xml:space="preserve"> </v>
      </c>
      <c r="CI36" s="63" t="str">
        <f ca="1">IFERROR(IF(ISNUMBER(BZ36),INDEX('1.Locations'!J2:J32,BZ36 + 1)," ")," ")</f>
        <v xml:space="preserve"> </v>
      </c>
      <c r="CJ36" s="63" t="str">
        <f ca="1">IFERROR(IF(ISNUMBER(BZ36),INDEX('1.Locations'!K2:K32,BZ36 + 1)," ")," ")</f>
        <v xml:space="preserve"> </v>
      </c>
      <c r="CK36" s="63" t="str">
        <f ca="1">IFERROR(IF(ISNUMBER(BZ36),SUM(CI5:CI36) + SUM(CJ36:CJ37)," ")," ")</f>
        <v xml:space="preserve"> </v>
      </c>
      <c r="CM36" s="16">
        <v>31</v>
      </c>
      <c r="CN36" s="15"/>
      <c r="CO36" s="63" t="str">
        <f ca="1">IFERROR(MATCH(INDIRECT("CN36"),'1.Locations'!B2:B32, 0) - 1," ")</f>
        <v xml:space="preserve"> </v>
      </c>
      <c r="CP36" s="63" t="e">
        <f ca="1">IFERROR(IF(ISNUMBER(CO36),INDEX('1.Locations'!D2:D32,CO36 + 1),NA()),NA())</f>
        <v>#N/A</v>
      </c>
      <c r="CQ36" s="63" t="e">
        <f ca="1">IFERROR(IF(ISNUMBER(CO36),INDEX('1.Locations'!E2:E32,CO36 + 1),NA()),NA())</f>
        <v>#N/A</v>
      </c>
      <c r="CR36" s="64" t="str">
        <f ca="1">IFERROR(IF(ISNUMBER(CO36),INDEX('2.Distances'!C2:C962,CO35*31+CO36+ 1) +CR35," ")," ")</f>
        <v xml:space="preserve"> </v>
      </c>
      <c r="CS36" s="65" t="str">
        <f ca="1">IFERROR(IF(ISNUMBER(CO36),INDEX('2.Distances'!D2:D962,CO35*31+CO36 + 1) +CS35," ")," ")</f>
        <v xml:space="preserve"> </v>
      </c>
      <c r="CT36" s="66" t="str">
        <f ca="1">IFERROR(IF(ISNUMBER(CO36),INDEX('2.Distances'!D2:D962,CO35*31+CO36 + 1) +CU35," ")," ")</f>
        <v xml:space="preserve"> </v>
      </c>
      <c r="CU36" s="66" t="str">
        <f ca="1">IFERROR(IF(AND(CO5&lt;&gt;CO36,ISNUMBER(CT36)),INDEX('1.Locations'!I2:I32,CO36 + 1) + MAX(CT36,INDEX('1.Locations'!F2:F32,CO36 + 1))," ")," ")</f>
        <v xml:space="preserve"> </v>
      </c>
      <c r="CV36" s="65" t="str">
        <f ca="1">IFERROR(IF(CO5 = CO36, CT36 - CU5, CU36 - CU5)," ")</f>
        <v xml:space="preserve"> </v>
      </c>
      <c r="CW36" s="63" t="str">
        <f ca="1">IFERROR(IF(ISNUMBER(CO36),INDEX('1.Locations'!L2:L32,CO36 + 1) + CW35," ")," ")</f>
        <v xml:space="preserve"> </v>
      </c>
      <c r="CX36" s="63" t="str">
        <f ca="1">IFERROR(IF(ISNUMBER(CO36),INDEX('1.Locations'!J2:J32,CO36 + 1)," ")," ")</f>
        <v xml:space="preserve"> </v>
      </c>
      <c r="CY36" s="63" t="str">
        <f ca="1">IFERROR(IF(ISNUMBER(CO36),INDEX('1.Locations'!K2:K32,CO36 + 1)," ")," ")</f>
        <v xml:space="preserve"> </v>
      </c>
      <c r="CZ36" s="63" t="str">
        <f ca="1">IFERROR(IF(ISNUMBER(CO36),SUM(CX5:CX36) + SUM(CY36:CY37)," ")," ")</f>
        <v xml:space="preserve"> </v>
      </c>
      <c r="DB36" s="16">
        <v>31</v>
      </c>
      <c r="DC36" s="15"/>
      <c r="DD36" s="63" t="str">
        <f ca="1">IFERROR(MATCH(INDIRECT("DC36"),'1.Locations'!B2:B32, 0) - 1," ")</f>
        <v xml:space="preserve"> </v>
      </c>
      <c r="DE36" s="63" t="e">
        <f ca="1">IFERROR(IF(ISNUMBER(DD36),INDEX('1.Locations'!D2:D32,DD36 + 1),NA()),NA())</f>
        <v>#N/A</v>
      </c>
      <c r="DF36" s="63" t="e">
        <f ca="1">IFERROR(IF(ISNUMBER(DD36),INDEX('1.Locations'!E2:E32,DD36 + 1),NA()),NA())</f>
        <v>#N/A</v>
      </c>
      <c r="DG36" s="64" t="str">
        <f ca="1">IFERROR(IF(ISNUMBER(DD36),INDEX('2.Distances'!C2:C962,DD35*31+DD36+ 1) +DG35," ")," ")</f>
        <v xml:space="preserve"> </v>
      </c>
      <c r="DH36" s="65" t="str">
        <f ca="1">IFERROR(IF(ISNUMBER(DD36),INDEX('2.Distances'!D2:D962,DD35*31+DD36 + 1) +DH35," ")," ")</f>
        <v xml:space="preserve"> </v>
      </c>
      <c r="DI36" s="66" t="str">
        <f ca="1">IFERROR(IF(ISNUMBER(DD36),INDEX('2.Distances'!D2:D962,DD35*31+DD36 + 1) +DJ35," ")," ")</f>
        <v xml:space="preserve"> </v>
      </c>
      <c r="DJ36" s="66" t="str">
        <f ca="1">IFERROR(IF(AND(DD5&lt;&gt;DD36,ISNUMBER(DI36)),INDEX('1.Locations'!I2:I32,DD36 + 1) + MAX(DI36,INDEX('1.Locations'!F2:F32,DD36 + 1))," ")," ")</f>
        <v xml:space="preserve"> </v>
      </c>
      <c r="DK36" s="65" t="str">
        <f ca="1">IFERROR(IF(DD5 = DD36, DI36 - DJ5, DJ36 - DJ5)," ")</f>
        <v xml:space="preserve"> </v>
      </c>
      <c r="DL36" s="63" t="str">
        <f ca="1">IFERROR(IF(ISNUMBER(DD36),INDEX('1.Locations'!L2:L32,DD36 + 1) + DL35," ")," ")</f>
        <v xml:space="preserve"> </v>
      </c>
      <c r="DM36" s="63" t="str">
        <f ca="1">IFERROR(IF(ISNUMBER(DD36),INDEX('1.Locations'!J2:J32,DD36 + 1)," ")," ")</f>
        <v xml:space="preserve"> </v>
      </c>
      <c r="DN36" s="63" t="str">
        <f ca="1">IFERROR(IF(ISNUMBER(DD36),INDEX('1.Locations'!K2:K32,DD36 + 1)," ")," ")</f>
        <v xml:space="preserve"> </v>
      </c>
      <c r="DO36" s="63" t="str">
        <f ca="1">IFERROR(IF(ISNUMBER(DD36),SUM(DM5:DM36) + SUM(DN36:DN37)," ")," ")</f>
        <v xml:space="preserve"> </v>
      </c>
      <c r="DQ36" s="16">
        <v>31</v>
      </c>
      <c r="DR36" s="15"/>
      <c r="DS36" s="63" t="str">
        <f ca="1">IFERROR(MATCH(INDIRECT("DR36"),'1.Locations'!B2:B32, 0) - 1," ")</f>
        <v xml:space="preserve"> </v>
      </c>
      <c r="DT36" s="63" t="e">
        <f ca="1">IFERROR(IF(ISNUMBER(DS36),INDEX('1.Locations'!D2:D32,DS36 + 1),NA()),NA())</f>
        <v>#N/A</v>
      </c>
      <c r="DU36" s="63" t="e">
        <f ca="1">IFERROR(IF(ISNUMBER(DS36),INDEX('1.Locations'!E2:E32,DS36 + 1),NA()),NA())</f>
        <v>#N/A</v>
      </c>
      <c r="DV36" s="64" t="str">
        <f ca="1">IFERROR(IF(ISNUMBER(DS36),INDEX('2.Distances'!C2:C962,DS35*31+DS36+ 1) +DV35," ")," ")</f>
        <v xml:space="preserve"> </v>
      </c>
      <c r="DW36" s="65" t="str">
        <f ca="1">IFERROR(IF(ISNUMBER(DS36),INDEX('2.Distances'!D2:D962,DS35*31+DS36 + 1) +DW35," ")," ")</f>
        <v xml:space="preserve"> </v>
      </c>
      <c r="DX36" s="66" t="str">
        <f ca="1">IFERROR(IF(ISNUMBER(DS36),INDEX('2.Distances'!D2:D962,DS35*31+DS36 + 1) +DY35," ")," ")</f>
        <v xml:space="preserve"> </v>
      </c>
      <c r="DY36" s="66" t="str">
        <f ca="1">IFERROR(IF(AND(DS5&lt;&gt;DS36,ISNUMBER(DX36)),INDEX('1.Locations'!I2:I32,DS36 + 1) + MAX(DX36,INDEX('1.Locations'!F2:F32,DS36 + 1))," ")," ")</f>
        <v xml:space="preserve"> </v>
      </c>
      <c r="DZ36" s="65" t="str">
        <f ca="1">IFERROR(IF(DS5 = DS36, DX36 - DY5, DY36 - DY5)," ")</f>
        <v xml:space="preserve"> </v>
      </c>
      <c r="EA36" s="63" t="str">
        <f ca="1">IFERROR(IF(ISNUMBER(DS36),INDEX('1.Locations'!L2:L32,DS36 + 1) + EA35," ")," ")</f>
        <v xml:space="preserve"> </v>
      </c>
      <c r="EB36" s="63" t="str">
        <f ca="1">IFERROR(IF(ISNUMBER(DS36),INDEX('1.Locations'!J2:J32,DS36 + 1)," ")," ")</f>
        <v xml:space="preserve"> </v>
      </c>
      <c r="EC36" s="63" t="str">
        <f ca="1">IFERROR(IF(ISNUMBER(DS36),INDEX('1.Locations'!K2:K32,DS36 + 1)," ")," ")</f>
        <v xml:space="preserve"> </v>
      </c>
      <c r="ED36" s="63" t="str">
        <f ca="1">IFERROR(IF(ISNUMBER(DS36),SUM(EB5:EB36) + SUM(EC36:EC37)," ")," ")</f>
        <v xml:space="preserve"> </v>
      </c>
      <c r="EF36" s="16">
        <v>31</v>
      </c>
      <c r="EG36" s="15"/>
      <c r="EH36" s="63" t="str">
        <f ca="1">IFERROR(MATCH(INDIRECT("EG36"),'1.Locations'!B2:B32, 0) - 1," ")</f>
        <v xml:space="preserve"> </v>
      </c>
      <c r="EI36" s="63" t="e">
        <f ca="1">IFERROR(IF(ISNUMBER(EH36),INDEX('1.Locations'!D2:D32,EH36 + 1),NA()),NA())</f>
        <v>#N/A</v>
      </c>
      <c r="EJ36" s="63" t="e">
        <f ca="1">IFERROR(IF(ISNUMBER(EH36),INDEX('1.Locations'!E2:E32,EH36 + 1),NA()),NA())</f>
        <v>#N/A</v>
      </c>
      <c r="EK36" s="64" t="str">
        <f ca="1">IFERROR(IF(ISNUMBER(EH36),INDEX('2.Distances'!C2:C962,EH35*31+EH36+ 1) +EK35," ")," ")</f>
        <v xml:space="preserve"> </v>
      </c>
      <c r="EL36" s="65" t="str">
        <f ca="1">IFERROR(IF(ISNUMBER(EH36),INDEX('2.Distances'!D2:D962,EH35*31+EH36 + 1) +EL35," ")," ")</f>
        <v xml:space="preserve"> </v>
      </c>
      <c r="EM36" s="66" t="str">
        <f ca="1">IFERROR(IF(ISNUMBER(EH36),INDEX('2.Distances'!D2:D962,EH35*31+EH36 + 1) +EN35," ")," ")</f>
        <v xml:space="preserve"> </v>
      </c>
      <c r="EN36" s="66" t="str">
        <f ca="1">IFERROR(IF(AND(EH5&lt;&gt;EH36,ISNUMBER(EM36)),INDEX('1.Locations'!I2:I32,EH36 + 1) + MAX(EM36,INDEX('1.Locations'!F2:F32,EH36 + 1))," ")," ")</f>
        <v xml:space="preserve"> </v>
      </c>
      <c r="EO36" s="65" t="str">
        <f ca="1">IFERROR(IF(EH5 = EH36, EM36 - EN5, EN36 - EN5)," ")</f>
        <v xml:space="preserve"> </v>
      </c>
      <c r="EP36" s="63" t="str">
        <f ca="1">IFERROR(IF(ISNUMBER(EH36),INDEX('1.Locations'!L2:L32,EH36 + 1) + EP35," ")," ")</f>
        <v xml:space="preserve"> </v>
      </c>
      <c r="EQ36" s="63" t="str">
        <f ca="1">IFERROR(IF(ISNUMBER(EH36),INDEX('1.Locations'!J2:J32,EH36 + 1)," ")," ")</f>
        <v xml:space="preserve"> </v>
      </c>
      <c r="ER36" s="63" t="str">
        <f ca="1">IFERROR(IF(ISNUMBER(EH36),INDEX('1.Locations'!K2:K32,EH36 + 1)," ")," ")</f>
        <v xml:space="preserve"> </v>
      </c>
      <c r="ES36" s="63" t="str">
        <f ca="1">IFERROR(IF(ISNUMBER(EH36),SUM(EQ5:EQ36) + SUM(ER36:ER37)," ")," ")</f>
        <v xml:space="preserve"> </v>
      </c>
    </row>
    <row r="38" spans="1:149" x14ac:dyDescent="0.25">
      <c r="A38" s="10" t="s">
        <v>129</v>
      </c>
    </row>
    <row r="39" spans="1:149" x14ac:dyDescent="0.25">
      <c r="V39">
        <f ca="1">INDEX(U5:$U$36,V3+ 1)</f>
        <v>0.24014905852863958</v>
      </c>
    </row>
  </sheetData>
  <conditionalFormatting sqref="F6:F36">
    <cfRule type="cellIs" dxfId="667" priority="40" stopIfTrue="1" operator="equal">
      <formula>" "</formula>
    </cfRule>
  </conditionalFormatting>
  <conditionalFormatting sqref="N5:N36">
    <cfRule type="cellIs" dxfId="665" priority="39" stopIfTrue="1" operator="equal">
      <formula>" "</formula>
    </cfRule>
  </conditionalFormatting>
  <conditionalFormatting sqref="N5:N36">
    <cfRule type="cellIs" dxfId="663" priority="106" stopIfTrue="1" operator="lessThan">
      <formula>0</formula>
    </cfRule>
  </conditionalFormatting>
  <conditionalFormatting sqref="G6:G36">
    <cfRule type="cellIs" dxfId="662" priority="38" stopIfTrue="1" operator="equal">
      <formula>" "</formula>
    </cfRule>
  </conditionalFormatting>
  <conditionalFormatting sqref="J6:J36">
    <cfRule type="cellIs" dxfId="660" priority="37" stopIfTrue="1" operator="equal">
      <formula>" "</formula>
    </cfRule>
  </conditionalFormatting>
  <conditionalFormatting sqref="I3">
    <cfRule type="expression" dxfId="658" priority="109" stopIfTrue="1">
      <formula>ISERROR(I3)</formula>
    </cfRule>
  </conditionalFormatting>
  <conditionalFormatting sqref="U6:U36">
    <cfRule type="cellIs" dxfId="594" priority="36" stopIfTrue="1" operator="equal">
      <formula>" "</formula>
    </cfRule>
  </conditionalFormatting>
  <conditionalFormatting sqref="AC5:AC36">
    <cfRule type="cellIs" dxfId="592" priority="35" stopIfTrue="1" operator="equal">
      <formula>" "</formula>
    </cfRule>
  </conditionalFormatting>
  <conditionalFormatting sqref="AC5:AC36">
    <cfRule type="cellIs" dxfId="590" priority="175" stopIfTrue="1" operator="lessThan">
      <formula>0</formula>
    </cfRule>
  </conditionalFormatting>
  <conditionalFormatting sqref="V6:V36">
    <cfRule type="cellIs" dxfId="589" priority="34" stopIfTrue="1" operator="equal">
      <formula>" "</formula>
    </cfRule>
  </conditionalFormatting>
  <conditionalFormatting sqref="Y6:Y36">
    <cfRule type="cellIs" dxfId="587" priority="33" stopIfTrue="1" operator="equal">
      <formula>" "</formula>
    </cfRule>
  </conditionalFormatting>
  <conditionalFormatting sqref="X3">
    <cfRule type="expression" dxfId="585" priority="178" stopIfTrue="1">
      <formula>ISERROR(X3)</formula>
    </cfRule>
  </conditionalFormatting>
  <conditionalFormatting sqref="AJ6:AJ36">
    <cfRule type="cellIs" dxfId="521" priority="32" stopIfTrue="1" operator="equal">
      <formula>" "</formula>
    </cfRule>
  </conditionalFormatting>
  <conditionalFormatting sqref="AR5:AR36">
    <cfRule type="cellIs" dxfId="519" priority="31" stopIfTrue="1" operator="equal">
      <formula>" "</formula>
    </cfRule>
  </conditionalFormatting>
  <conditionalFormatting sqref="AR5:AR36">
    <cfRule type="cellIs" dxfId="517" priority="244" stopIfTrue="1" operator="lessThan">
      <formula>0</formula>
    </cfRule>
  </conditionalFormatting>
  <conditionalFormatting sqref="AK6:AK36">
    <cfRule type="cellIs" dxfId="516" priority="30" stopIfTrue="1" operator="equal">
      <formula>" "</formula>
    </cfRule>
  </conditionalFormatting>
  <conditionalFormatting sqref="AN6:AN36">
    <cfRule type="cellIs" dxfId="514" priority="29" stopIfTrue="1" operator="equal">
      <formula>" "</formula>
    </cfRule>
  </conditionalFormatting>
  <conditionalFormatting sqref="AM3">
    <cfRule type="expression" dxfId="512" priority="247" stopIfTrue="1">
      <formula>ISERROR(AM3)</formula>
    </cfRule>
  </conditionalFormatting>
  <conditionalFormatting sqref="AY6:AY36">
    <cfRule type="cellIs" dxfId="448" priority="28" stopIfTrue="1" operator="equal">
      <formula>" "</formula>
    </cfRule>
  </conditionalFormatting>
  <conditionalFormatting sqref="BG5:BG36">
    <cfRule type="cellIs" dxfId="446" priority="27" stopIfTrue="1" operator="equal">
      <formula>" "</formula>
    </cfRule>
  </conditionalFormatting>
  <conditionalFormatting sqref="BG5:BG36">
    <cfRule type="cellIs" dxfId="444" priority="313" stopIfTrue="1" operator="lessThan">
      <formula>0</formula>
    </cfRule>
  </conditionalFormatting>
  <conditionalFormatting sqref="AZ6:AZ36">
    <cfRule type="cellIs" dxfId="443" priority="26" stopIfTrue="1" operator="equal">
      <formula>" "</formula>
    </cfRule>
  </conditionalFormatting>
  <conditionalFormatting sqref="BC6:BC36">
    <cfRule type="cellIs" dxfId="441" priority="25" stopIfTrue="1" operator="equal">
      <formula>" "</formula>
    </cfRule>
  </conditionalFormatting>
  <conditionalFormatting sqref="BB3">
    <cfRule type="expression" dxfId="439" priority="316" stopIfTrue="1">
      <formula>ISERROR(BB3)</formula>
    </cfRule>
  </conditionalFormatting>
  <conditionalFormatting sqref="BN6:BN36">
    <cfRule type="cellIs" dxfId="375" priority="24" stopIfTrue="1" operator="equal">
      <formula>" "</formula>
    </cfRule>
  </conditionalFormatting>
  <conditionalFormatting sqref="BV5:BV36">
    <cfRule type="cellIs" dxfId="373" priority="23" stopIfTrue="1" operator="equal">
      <formula>" "</formula>
    </cfRule>
  </conditionalFormatting>
  <conditionalFormatting sqref="BV5:BV36">
    <cfRule type="cellIs" dxfId="371" priority="382" stopIfTrue="1" operator="lessThan">
      <formula>0</formula>
    </cfRule>
  </conditionalFormatting>
  <conditionalFormatting sqref="BO6:BO36">
    <cfRule type="cellIs" dxfId="370" priority="22" stopIfTrue="1" operator="equal">
      <formula>" "</formula>
    </cfRule>
  </conditionalFormatting>
  <conditionalFormatting sqref="BR6:BR36">
    <cfRule type="cellIs" dxfId="368" priority="21" stopIfTrue="1" operator="equal">
      <formula>" "</formula>
    </cfRule>
  </conditionalFormatting>
  <conditionalFormatting sqref="BQ3">
    <cfRule type="expression" dxfId="366" priority="385" stopIfTrue="1">
      <formula>ISERROR(BQ3)</formula>
    </cfRule>
  </conditionalFormatting>
  <conditionalFormatting sqref="CC6:CC36">
    <cfRule type="cellIs" dxfId="302" priority="20" stopIfTrue="1" operator="equal">
      <formula>" "</formula>
    </cfRule>
  </conditionalFormatting>
  <conditionalFormatting sqref="CK5:CK36">
    <cfRule type="cellIs" dxfId="300" priority="19" stopIfTrue="1" operator="equal">
      <formula>" "</formula>
    </cfRule>
  </conditionalFormatting>
  <conditionalFormatting sqref="CK5:CK36">
    <cfRule type="cellIs" dxfId="298" priority="451" stopIfTrue="1" operator="lessThan">
      <formula>0</formula>
    </cfRule>
  </conditionalFormatting>
  <conditionalFormatting sqref="CD6:CD36">
    <cfRule type="cellIs" dxfId="297" priority="18" stopIfTrue="1" operator="equal">
      <formula>" "</formula>
    </cfRule>
  </conditionalFormatting>
  <conditionalFormatting sqref="CG6:CG36">
    <cfRule type="cellIs" dxfId="295" priority="17" stopIfTrue="1" operator="equal">
      <formula>" "</formula>
    </cfRule>
  </conditionalFormatting>
  <conditionalFormatting sqref="CF3">
    <cfRule type="expression" dxfId="293" priority="454" stopIfTrue="1">
      <formula>ISERROR(CF3)</formula>
    </cfRule>
  </conditionalFormatting>
  <conditionalFormatting sqref="CR6:CR36">
    <cfRule type="cellIs" dxfId="229" priority="16" stopIfTrue="1" operator="equal">
      <formula>" "</formula>
    </cfRule>
  </conditionalFormatting>
  <conditionalFormatting sqref="CZ5:CZ36">
    <cfRule type="cellIs" dxfId="227" priority="15" stopIfTrue="1" operator="equal">
      <formula>" "</formula>
    </cfRule>
  </conditionalFormatting>
  <conditionalFormatting sqref="CZ5:CZ36">
    <cfRule type="cellIs" dxfId="225" priority="520" stopIfTrue="1" operator="lessThan">
      <formula>0</formula>
    </cfRule>
  </conditionalFormatting>
  <conditionalFormatting sqref="CS6:CS36">
    <cfRule type="cellIs" dxfId="224" priority="14" stopIfTrue="1" operator="equal">
      <formula>" "</formula>
    </cfRule>
  </conditionalFormatting>
  <conditionalFormatting sqref="CV6:CV36">
    <cfRule type="cellIs" dxfId="222" priority="13" stopIfTrue="1" operator="equal">
      <formula>" "</formula>
    </cfRule>
  </conditionalFormatting>
  <conditionalFormatting sqref="CU3">
    <cfRule type="expression" dxfId="220" priority="523" stopIfTrue="1">
      <formula>ISERROR(CU3)</formula>
    </cfRule>
  </conditionalFormatting>
  <conditionalFormatting sqref="DG6:DG36">
    <cfRule type="cellIs" dxfId="156" priority="12" stopIfTrue="1" operator="equal">
      <formula>" "</formula>
    </cfRule>
  </conditionalFormatting>
  <conditionalFormatting sqref="DO5:DO36">
    <cfRule type="cellIs" dxfId="154" priority="11" stopIfTrue="1" operator="equal">
      <formula>" "</formula>
    </cfRule>
  </conditionalFormatting>
  <conditionalFormatting sqref="DO5:DO36">
    <cfRule type="cellIs" dxfId="152" priority="589" stopIfTrue="1" operator="lessThan">
      <formula>0</formula>
    </cfRule>
  </conditionalFormatting>
  <conditionalFormatting sqref="DH6:DH36">
    <cfRule type="cellIs" dxfId="151" priority="10" stopIfTrue="1" operator="equal">
      <formula>" "</formula>
    </cfRule>
  </conditionalFormatting>
  <conditionalFormatting sqref="DK6:DK36">
    <cfRule type="cellIs" dxfId="149" priority="9" stopIfTrue="1" operator="equal">
      <formula>" "</formula>
    </cfRule>
  </conditionalFormatting>
  <conditionalFormatting sqref="DJ3">
    <cfRule type="expression" dxfId="147" priority="592" stopIfTrue="1">
      <formula>ISERROR(DJ3)</formula>
    </cfRule>
  </conditionalFormatting>
  <conditionalFormatting sqref="DV6:DV36">
    <cfRule type="cellIs" dxfId="83" priority="8" stopIfTrue="1" operator="equal">
      <formula>" "</formula>
    </cfRule>
  </conditionalFormatting>
  <conditionalFormatting sqref="ED5:ED36">
    <cfRule type="cellIs" dxfId="81" priority="7" stopIfTrue="1" operator="equal">
      <formula>" "</formula>
    </cfRule>
  </conditionalFormatting>
  <conditionalFormatting sqref="ED5:ED36">
    <cfRule type="cellIs" dxfId="79" priority="658" stopIfTrue="1" operator="lessThan">
      <formula>0</formula>
    </cfRule>
  </conditionalFormatting>
  <conditionalFormatting sqref="DW6:DW36">
    <cfRule type="cellIs" dxfId="78" priority="6" stopIfTrue="1" operator="equal">
      <formula>" "</formula>
    </cfRule>
  </conditionalFormatting>
  <conditionalFormatting sqref="DZ6:DZ36">
    <cfRule type="cellIs" dxfId="76" priority="5" stopIfTrue="1" operator="equal">
      <formula>" "</formula>
    </cfRule>
  </conditionalFormatting>
  <conditionalFormatting sqref="DY3">
    <cfRule type="expression" dxfId="74" priority="661" stopIfTrue="1">
      <formula>ISERROR(DY3)</formula>
    </cfRule>
  </conditionalFormatting>
  <conditionalFormatting sqref="EK6:EK36">
    <cfRule type="cellIs" dxfId="10" priority="4" stopIfTrue="1" operator="equal">
      <formula>" "</formula>
    </cfRule>
  </conditionalFormatting>
  <conditionalFormatting sqref="ES5:ES36">
    <cfRule type="cellIs" dxfId="8" priority="3" stopIfTrue="1" operator="equal">
      <formula>" "</formula>
    </cfRule>
  </conditionalFormatting>
  <conditionalFormatting sqref="ES5:ES36">
    <cfRule type="cellIs" dxfId="6" priority="727" stopIfTrue="1" operator="lessThan">
      <formula>0</formula>
    </cfRule>
  </conditionalFormatting>
  <conditionalFormatting sqref="EL6:EL36">
    <cfRule type="cellIs" dxfId="5" priority="2" stopIfTrue="1" operator="equal">
      <formula>" "</formula>
    </cfRule>
  </conditionalFormatting>
  <conditionalFormatting sqref="EO6:EO36">
    <cfRule type="cellIs" dxfId="3" priority="1" stopIfTrue="1" operator="equal">
      <formula>" "</formula>
    </cfRule>
  </conditionalFormatting>
  <conditionalFormatting sqref="EN3">
    <cfRule type="expression" dxfId="1" priority="730" stopIfTrue="1">
      <formula>ISERROR(EN3)</formula>
    </cfRule>
  </conditionalFormatting>
  <conditionalFormatting sqref="B1">
    <cfRule type="expression" dxfId="0" priority="731" stopIfTrue="1">
      <formula>ISERROR(B1)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" stopIfTrue="1" id="{A1D69E0F-0DEC-49CA-8EA6-0B9D58CA56FA}">
            <xm:f>(60 * HOUR(I5) + MINUTE(I5)) &gt;(60 * HOUR(INDEX('1.Locations'!G2:G32,C5 + 1)) +MINUTE(INDEX('1.Locations'!G2:G32,C5 + 1)))</xm:f>
            <x14:dxf>
              <fill>
                <patternFill>
                  <bgColor indexed="10"/>
                </patternFill>
              </fill>
            </x14:dxf>
          </x14:cfRule>
          <xm:sqref>I5</xm:sqref>
        </x14:conditionalFormatting>
        <x14:conditionalFormatting xmlns:xm="http://schemas.microsoft.com/office/excel/2006/main">
          <x14:cfRule type="cellIs" priority="42" stopIfTrue="1" operator="lessThan" id="{ABE51E18-8834-4486-BEAE-EEE0B9871AC2}">
            <xm:f>INDEX('1.Locations'!F2:F32,C6 + 1)</xm:f>
            <x14:dxf>
              <fill>
                <patternFill>
                  <bgColor indexed="52"/>
                </patternFill>
              </fill>
            </x14:dxf>
          </x14:cfRule>
          <xm:sqref>H6</xm:sqref>
        </x14:conditionalFormatting>
        <x14:conditionalFormatting xmlns:xm="http://schemas.microsoft.com/office/excel/2006/main">
          <x14:cfRule type="expression" priority="43" stopIfTrue="1" id="{658093CB-168B-4355-B160-17B0C679085C}">
            <xm:f>(60 * HOUR(I6) + MINUTE(I6)) &gt;(60 * HOUR(INDEX('1.Locations'!G2:G32,C6 + 1)) +MINUTE(INDEX('1.Locations'!G2:G32,C6 + 1)))</xm:f>
            <x14:dxf>
              <fill>
                <patternFill>
                  <bgColor indexed="10"/>
                </patternFill>
              </fill>
            </x14:dxf>
          </x14:cfRule>
          <xm:sqref>I6</xm:sqref>
        </x14:conditionalFormatting>
        <x14:conditionalFormatting xmlns:xm="http://schemas.microsoft.com/office/excel/2006/main">
          <x14:cfRule type="cellIs" priority="44" stopIfTrue="1" operator="lessThan" id="{2A6ABAD7-94B5-4BB6-BEBA-B2281819DF7B}">
            <xm:f>INDEX('1.Locations'!F2:F32,C7 + 1)</xm:f>
            <x14:dxf>
              <fill>
                <patternFill>
                  <bgColor indexed="52"/>
                </patternFill>
              </fill>
            </x14:dxf>
          </x14:cfRule>
          <xm:sqref>H7</xm:sqref>
        </x14:conditionalFormatting>
        <x14:conditionalFormatting xmlns:xm="http://schemas.microsoft.com/office/excel/2006/main">
          <x14:cfRule type="expression" priority="45" stopIfTrue="1" id="{3452A392-5591-4048-81FE-0F8929F9C318}">
            <xm:f>(60 * HOUR(I7) + MINUTE(I7)) &gt;(60 * HOUR(INDEX('1.Locations'!G2:G32,C7 + 1)) +MINUTE(INDEX('1.Locations'!G2:G32,C7 + 1)))</xm:f>
            <x14:dxf>
              <fill>
                <patternFill>
                  <bgColor indexed="10"/>
                </patternFill>
              </fill>
            </x14:dxf>
          </x14:cfRule>
          <xm:sqref>I7</xm:sqref>
        </x14:conditionalFormatting>
        <x14:conditionalFormatting xmlns:xm="http://schemas.microsoft.com/office/excel/2006/main">
          <x14:cfRule type="cellIs" priority="46" stopIfTrue="1" operator="lessThan" id="{3C749748-5525-4463-95E9-DB6E87A25658}">
            <xm:f>INDEX('1.Locations'!F2:F32,C8 + 1)</xm:f>
            <x14:dxf>
              <fill>
                <patternFill>
                  <bgColor indexed="52"/>
                </patternFill>
              </fill>
            </x14:dxf>
          </x14:cfRule>
          <xm:sqref>H8</xm:sqref>
        </x14:conditionalFormatting>
        <x14:conditionalFormatting xmlns:xm="http://schemas.microsoft.com/office/excel/2006/main">
          <x14:cfRule type="expression" priority="47" stopIfTrue="1" id="{1A2B79AA-458B-4E8D-9225-42AEEB1060F6}">
            <xm:f>(60 * HOUR(I8) + MINUTE(I8)) &gt;(60 * HOUR(INDEX('1.Locations'!G2:G32,C8 + 1)) +MINUTE(INDEX('1.Locations'!G2:G32,C8 + 1)))</xm:f>
            <x14:dxf>
              <fill>
                <patternFill>
                  <bgColor indexed="10"/>
                </patternFill>
              </fill>
            </x14:dxf>
          </x14:cfRule>
          <xm:sqref>I8</xm:sqref>
        </x14:conditionalFormatting>
        <x14:conditionalFormatting xmlns:xm="http://schemas.microsoft.com/office/excel/2006/main">
          <x14:cfRule type="cellIs" priority="48" stopIfTrue="1" operator="lessThan" id="{AF18FFC1-2D03-442E-BDFA-CEAD04890591}">
            <xm:f>INDEX('1.Locations'!F2:F32,C9 + 1)</xm:f>
            <x14:dxf>
              <fill>
                <patternFill>
                  <bgColor indexed="52"/>
                </patternFill>
              </fill>
            </x14:dxf>
          </x14:cfRule>
          <xm:sqref>H9</xm:sqref>
        </x14:conditionalFormatting>
        <x14:conditionalFormatting xmlns:xm="http://schemas.microsoft.com/office/excel/2006/main">
          <x14:cfRule type="expression" priority="49" stopIfTrue="1" id="{F303B27C-A4A2-46E6-BB5C-070CB1462618}">
            <xm:f>(60 * HOUR(I9) + MINUTE(I9)) &gt;(60 * HOUR(INDEX('1.Locations'!G2:G32,C9 + 1)) +MINUTE(INDEX('1.Locations'!G2:G32,C9 + 1)))</xm:f>
            <x14:dxf>
              <fill>
                <patternFill>
                  <bgColor indexed="10"/>
                </patternFill>
              </fill>
            </x14:dxf>
          </x14:cfRule>
          <xm:sqref>I9</xm:sqref>
        </x14:conditionalFormatting>
        <x14:conditionalFormatting xmlns:xm="http://schemas.microsoft.com/office/excel/2006/main">
          <x14:cfRule type="cellIs" priority="50" stopIfTrue="1" operator="lessThan" id="{27573226-2557-459F-AB70-CC9FBBA71ADC}">
            <xm:f>INDEX('1.Locations'!F2:F32,C10 + 1)</xm:f>
            <x14:dxf>
              <fill>
                <patternFill>
                  <bgColor indexed="52"/>
                </patternFill>
              </fill>
            </x14:dxf>
          </x14:cfRule>
          <xm:sqref>H10</xm:sqref>
        </x14:conditionalFormatting>
        <x14:conditionalFormatting xmlns:xm="http://schemas.microsoft.com/office/excel/2006/main">
          <x14:cfRule type="expression" priority="51" stopIfTrue="1" id="{1FCE6BDE-4DBE-4D78-838C-313DAE522B2E}">
            <xm:f>(60 * HOUR(I10) + MINUTE(I10)) &gt;(60 * HOUR(INDEX('1.Locations'!G2:G32,C10 + 1)) +MINUTE(INDEX('1.Locations'!G2:G32,C10 + 1)))</xm:f>
            <x14:dxf>
              <fill>
                <patternFill>
                  <bgColor indexed="10"/>
                </patternFill>
              </fill>
            </x14:dxf>
          </x14:cfRule>
          <xm:sqref>I10</xm:sqref>
        </x14:conditionalFormatting>
        <x14:conditionalFormatting xmlns:xm="http://schemas.microsoft.com/office/excel/2006/main">
          <x14:cfRule type="cellIs" priority="52" stopIfTrue="1" operator="lessThan" id="{F6979E05-7B58-4AF3-8F47-E727DBA7B8CE}">
            <xm:f>INDEX('1.Locations'!F2:F32,C11 + 1)</xm:f>
            <x14:dxf>
              <fill>
                <patternFill>
                  <bgColor indexed="52"/>
                </patternFill>
              </fill>
            </x14:dxf>
          </x14:cfRule>
          <xm:sqref>H11</xm:sqref>
        </x14:conditionalFormatting>
        <x14:conditionalFormatting xmlns:xm="http://schemas.microsoft.com/office/excel/2006/main">
          <x14:cfRule type="expression" priority="53" stopIfTrue="1" id="{F39A46C0-423A-4042-A5AF-D5E14F7500EF}">
            <xm:f>(60 * HOUR(I11) + MINUTE(I11)) &gt;(60 * HOUR(INDEX('1.Locations'!G2:G32,C11 + 1)) +MINUTE(INDEX('1.Locations'!G2:G32,C11 + 1)))</xm:f>
            <x14:dxf>
              <fill>
                <patternFill>
                  <bgColor indexed="10"/>
                </patternFill>
              </fill>
            </x14:dxf>
          </x14:cfRule>
          <xm:sqref>I11</xm:sqref>
        </x14:conditionalFormatting>
        <x14:conditionalFormatting xmlns:xm="http://schemas.microsoft.com/office/excel/2006/main">
          <x14:cfRule type="cellIs" priority="54" stopIfTrue="1" operator="lessThan" id="{B3C1E4F8-CA18-4566-9D18-87F481115D52}">
            <xm:f>INDEX('1.Locations'!F2:F32,C12 + 1)</xm:f>
            <x14:dxf>
              <fill>
                <patternFill>
                  <bgColor indexed="52"/>
                </patternFill>
              </fill>
            </x14:dxf>
          </x14:cfRule>
          <xm:sqref>H12</xm:sqref>
        </x14:conditionalFormatting>
        <x14:conditionalFormatting xmlns:xm="http://schemas.microsoft.com/office/excel/2006/main">
          <x14:cfRule type="expression" priority="55" stopIfTrue="1" id="{9821E92E-5F20-474A-8F35-1D81FB22667B}">
            <xm:f>(60 * HOUR(I12) + MINUTE(I12)) &gt;(60 * HOUR(INDEX('1.Locations'!G2:G32,C12 + 1)) +MINUTE(INDEX('1.Locations'!G2:G32,C12 + 1)))</xm:f>
            <x14:dxf>
              <fill>
                <patternFill>
                  <bgColor indexed="10"/>
                </patternFill>
              </fill>
            </x14:dxf>
          </x14:cfRule>
          <xm:sqref>I12</xm:sqref>
        </x14:conditionalFormatting>
        <x14:conditionalFormatting xmlns:xm="http://schemas.microsoft.com/office/excel/2006/main">
          <x14:cfRule type="cellIs" priority="56" stopIfTrue="1" operator="lessThan" id="{D59621B6-8A4F-4DE6-A91C-AF05913B3CF9}">
            <xm:f>INDEX('1.Locations'!F2:F32,C13 + 1)</xm:f>
            <x14:dxf>
              <fill>
                <patternFill>
                  <bgColor indexed="52"/>
                </patternFill>
              </fill>
            </x14:dxf>
          </x14:cfRule>
          <xm:sqref>H13</xm:sqref>
        </x14:conditionalFormatting>
        <x14:conditionalFormatting xmlns:xm="http://schemas.microsoft.com/office/excel/2006/main">
          <x14:cfRule type="expression" priority="57" stopIfTrue="1" id="{8165D12D-0C53-4A9E-897A-EC7CD6CFFBD8}">
            <xm:f>(60 * HOUR(I13) + MINUTE(I13)) &gt;(60 * HOUR(INDEX('1.Locations'!G2:G32,C13 + 1)) +MINUTE(INDEX('1.Locations'!G2:G32,C13 + 1)))</xm:f>
            <x14:dxf>
              <fill>
                <patternFill>
                  <bgColor indexed="10"/>
                </patternFill>
              </fill>
            </x14:dxf>
          </x14:cfRule>
          <xm:sqref>I13</xm:sqref>
        </x14:conditionalFormatting>
        <x14:conditionalFormatting xmlns:xm="http://schemas.microsoft.com/office/excel/2006/main">
          <x14:cfRule type="cellIs" priority="58" stopIfTrue="1" operator="lessThan" id="{8EC9F28A-C37D-4FD8-B923-2C66D1D96FED}">
            <xm:f>INDEX('1.Locations'!F2:F32,C14 + 1)</xm:f>
            <x14:dxf>
              <fill>
                <patternFill>
                  <bgColor indexed="52"/>
                </patternFill>
              </fill>
            </x14:dxf>
          </x14:cfRule>
          <xm:sqref>H14</xm:sqref>
        </x14:conditionalFormatting>
        <x14:conditionalFormatting xmlns:xm="http://schemas.microsoft.com/office/excel/2006/main">
          <x14:cfRule type="expression" priority="59" stopIfTrue="1" id="{38CADB19-ADE1-43C9-A7A4-C187E4508F8B}">
            <xm:f>(60 * HOUR(I14) + MINUTE(I14)) &gt;(60 * HOUR(INDEX('1.Locations'!G2:G32,C14 + 1)) +MINUTE(INDEX('1.Locations'!G2:G32,C14 + 1)))</xm:f>
            <x14:dxf>
              <fill>
                <patternFill>
                  <bgColor indexed="10"/>
                </patternFill>
              </fill>
            </x14:dxf>
          </x14:cfRule>
          <xm:sqref>I14</xm:sqref>
        </x14:conditionalFormatting>
        <x14:conditionalFormatting xmlns:xm="http://schemas.microsoft.com/office/excel/2006/main">
          <x14:cfRule type="cellIs" priority="60" stopIfTrue="1" operator="lessThan" id="{EBC7BD6C-3850-416A-AFAC-BB878F23C9E2}">
            <xm:f>INDEX('1.Locations'!F2:F32,C15 + 1)</xm:f>
            <x14:dxf>
              <fill>
                <patternFill>
                  <bgColor indexed="52"/>
                </patternFill>
              </fill>
            </x14:dxf>
          </x14:cfRule>
          <xm:sqref>H15</xm:sqref>
        </x14:conditionalFormatting>
        <x14:conditionalFormatting xmlns:xm="http://schemas.microsoft.com/office/excel/2006/main">
          <x14:cfRule type="expression" priority="61" stopIfTrue="1" id="{9E7108B3-ADE5-4EA3-9F4B-C49D9A586519}">
            <xm:f>(60 * HOUR(I15) + MINUTE(I15)) &gt;(60 * HOUR(INDEX('1.Locations'!G2:G32,C15 + 1)) +MINUTE(INDEX('1.Locations'!G2:G32,C15 + 1)))</xm:f>
            <x14:dxf>
              <fill>
                <patternFill>
                  <bgColor indexed="10"/>
                </patternFill>
              </fill>
            </x14:dxf>
          </x14:cfRule>
          <xm:sqref>I15</xm:sqref>
        </x14:conditionalFormatting>
        <x14:conditionalFormatting xmlns:xm="http://schemas.microsoft.com/office/excel/2006/main">
          <x14:cfRule type="cellIs" priority="62" stopIfTrue="1" operator="lessThan" id="{89A1BBA1-42EC-448B-96DF-227110AA31B6}">
            <xm:f>INDEX('1.Locations'!F2:F32,C16 + 1)</xm:f>
            <x14:dxf>
              <fill>
                <patternFill>
                  <bgColor indexed="52"/>
                </patternFill>
              </fill>
            </x14:dxf>
          </x14:cfRule>
          <xm:sqref>H16</xm:sqref>
        </x14:conditionalFormatting>
        <x14:conditionalFormatting xmlns:xm="http://schemas.microsoft.com/office/excel/2006/main">
          <x14:cfRule type="expression" priority="63" stopIfTrue="1" id="{BAAA5FA5-3EAB-4BA4-A946-6789F47B5427}">
            <xm:f>(60 * HOUR(I16) + MINUTE(I16)) &gt;(60 * HOUR(INDEX('1.Locations'!G2:G32,C16 + 1)) +MINUTE(INDEX('1.Locations'!G2:G32,C16 + 1)))</xm:f>
            <x14:dxf>
              <fill>
                <patternFill>
                  <bgColor indexed="10"/>
                </patternFill>
              </fill>
            </x14:dxf>
          </x14:cfRule>
          <xm:sqref>I16</xm:sqref>
        </x14:conditionalFormatting>
        <x14:conditionalFormatting xmlns:xm="http://schemas.microsoft.com/office/excel/2006/main">
          <x14:cfRule type="cellIs" priority="64" stopIfTrue="1" operator="lessThan" id="{B133097E-13C1-4273-AB31-2845372B6F00}">
            <xm:f>INDEX('1.Locations'!F2:F32,C17 + 1)</xm:f>
            <x14:dxf>
              <fill>
                <patternFill>
                  <bgColor indexed="52"/>
                </patternFill>
              </fill>
            </x14:dxf>
          </x14:cfRule>
          <xm:sqref>H17</xm:sqref>
        </x14:conditionalFormatting>
        <x14:conditionalFormatting xmlns:xm="http://schemas.microsoft.com/office/excel/2006/main">
          <x14:cfRule type="expression" priority="65" stopIfTrue="1" id="{36CC2C71-3C9D-4545-AFE5-C892AAC32E72}">
            <xm:f>(60 * HOUR(I17) + MINUTE(I17)) &gt;(60 * HOUR(INDEX('1.Locations'!G2:G32,C17 + 1)) +MINUTE(INDEX('1.Locations'!G2:G32,C17 + 1)))</xm:f>
            <x14:dxf>
              <fill>
                <patternFill>
                  <bgColor indexed="10"/>
                </patternFill>
              </fill>
            </x14:dxf>
          </x14:cfRule>
          <xm:sqref>I17</xm:sqref>
        </x14:conditionalFormatting>
        <x14:conditionalFormatting xmlns:xm="http://schemas.microsoft.com/office/excel/2006/main">
          <x14:cfRule type="cellIs" priority="66" stopIfTrue="1" operator="lessThan" id="{C68E3C5C-2AA2-41B0-8AE4-66D605DB44AE}">
            <xm:f>INDEX('1.Locations'!F2:F32,C18 + 1)</xm:f>
            <x14:dxf>
              <fill>
                <patternFill>
                  <bgColor indexed="52"/>
                </patternFill>
              </fill>
            </x14:dxf>
          </x14:cfRule>
          <xm:sqref>H18</xm:sqref>
        </x14:conditionalFormatting>
        <x14:conditionalFormatting xmlns:xm="http://schemas.microsoft.com/office/excel/2006/main">
          <x14:cfRule type="expression" priority="67" stopIfTrue="1" id="{DB47D162-F54E-4054-ACBF-60FC121259E8}">
            <xm:f>(60 * HOUR(I18) + MINUTE(I18)) &gt;(60 * HOUR(INDEX('1.Locations'!G2:G32,C18 + 1)) +MINUTE(INDEX('1.Locations'!G2:G32,C18 + 1)))</xm:f>
            <x14:dxf>
              <fill>
                <patternFill>
                  <bgColor indexed="10"/>
                </patternFill>
              </fill>
            </x14:dxf>
          </x14:cfRule>
          <xm:sqref>I18</xm:sqref>
        </x14:conditionalFormatting>
        <x14:conditionalFormatting xmlns:xm="http://schemas.microsoft.com/office/excel/2006/main">
          <x14:cfRule type="cellIs" priority="68" stopIfTrue="1" operator="lessThan" id="{D21F360C-76D8-423A-AEA8-FD8744DBE32F}">
            <xm:f>INDEX('1.Locations'!F2:F32,C19 + 1)</xm:f>
            <x14:dxf>
              <fill>
                <patternFill>
                  <bgColor indexed="52"/>
                </patternFill>
              </fill>
            </x14:dxf>
          </x14:cfRule>
          <xm:sqref>H19</xm:sqref>
        </x14:conditionalFormatting>
        <x14:conditionalFormatting xmlns:xm="http://schemas.microsoft.com/office/excel/2006/main">
          <x14:cfRule type="expression" priority="69" stopIfTrue="1" id="{3517E275-442D-40AB-82DC-9B942DAADBAB}">
            <xm:f>(60 * HOUR(I19) + MINUTE(I19)) &gt;(60 * HOUR(INDEX('1.Locations'!G2:G32,C19 + 1)) +MINUTE(INDEX('1.Locations'!G2:G32,C19 + 1)))</xm:f>
            <x14:dxf>
              <fill>
                <patternFill>
                  <bgColor indexed="10"/>
                </patternFill>
              </fill>
            </x14:dxf>
          </x14:cfRule>
          <xm:sqref>I19</xm:sqref>
        </x14:conditionalFormatting>
        <x14:conditionalFormatting xmlns:xm="http://schemas.microsoft.com/office/excel/2006/main">
          <x14:cfRule type="cellIs" priority="70" stopIfTrue="1" operator="lessThan" id="{8D09D614-CB51-429B-97CF-FC7D217E0944}">
            <xm:f>INDEX('1.Locations'!F2:F32,C20 + 1)</xm:f>
            <x14:dxf>
              <fill>
                <patternFill>
                  <bgColor indexed="52"/>
                </patternFill>
              </fill>
            </x14:dxf>
          </x14:cfRule>
          <xm:sqref>H20</xm:sqref>
        </x14:conditionalFormatting>
        <x14:conditionalFormatting xmlns:xm="http://schemas.microsoft.com/office/excel/2006/main">
          <x14:cfRule type="expression" priority="71" stopIfTrue="1" id="{0E8E7260-2983-4A7F-B989-1AAB3060FED9}">
            <xm:f>(60 * HOUR(I20) + MINUTE(I20)) &gt;(60 * HOUR(INDEX('1.Locations'!G2:G32,C20 + 1)) +MINUTE(INDEX('1.Locations'!G2:G32,C20 + 1)))</xm:f>
            <x14:dxf>
              <fill>
                <patternFill>
                  <bgColor indexed="10"/>
                </patternFill>
              </fill>
            </x14:dxf>
          </x14:cfRule>
          <xm:sqref>I20</xm:sqref>
        </x14:conditionalFormatting>
        <x14:conditionalFormatting xmlns:xm="http://schemas.microsoft.com/office/excel/2006/main">
          <x14:cfRule type="cellIs" priority="72" stopIfTrue="1" operator="lessThan" id="{D682E624-5027-4E6F-9799-B8486E239138}">
            <xm:f>INDEX('1.Locations'!F2:F32,C21 + 1)</xm:f>
            <x14:dxf>
              <fill>
                <patternFill>
                  <bgColor indexed="52"/>
                </patternFill>
              </fill>
            </x14:dxf>
          </x14:cfRule>
          <xm:sqref>H21</xm:sqref>
        </x14:conditionalFormatting>
        <x14:conditionalFormatting xmlns:xm="http://schemas.microsoft.com/office/excel/2006/main">
          <x14:cfRule type="expression" priority="73" stopIfTrue="1" id="{64A9F843-2AAA-4A67-A90D-AE5E06F15491}">
            <xm:f>(60 * HOUR(I21) + MINUTE(I21)) &gt;(60 * HOUR(INDEX('1.Locations'!G2:G32,C21 + 1)) +MINUTE(INDEX('1.Locations'!G2:G32,C21 + 1)))</xm:f>
            <x14:dxf>
              <fill>
                <patternFill>
                  <bgColor indexed="10"/>
                </patternFill>
              </fill>
            </x14:dxf>
          </x14:cfRule>
          <xm:sqref>I21</xm:sqref>
        </x14:conditionalFormatting>
        <x14:conditionalFormatting xmlns:xm="http://schemas.microsoft.com/office/excel/2006/main">
          <x14:cfRule type="cellIs" priority="74" stopIfTrue="1" operator="lessThan" id="{C28BB4E3-E648-47A1-9D19-332E592E0B60}">
            <xm:f>INDEX('1.Locations'!F2:F32,C22 + 1)</xm:f>
            <x14:dxf>
              <fill>
                <patternFill>
                  <bgColor indexed="52"/>
                </patternFill>
              </fill>
            </x14:dxf>
          </x14:cfRule>
          <xm:sqref>H22</xm:sqref>
        </x14:conditionalFormatting>
        <x14:conditionalFormatting xmlns:xm="http://schemas.microsoft.com/office/excel/2006/main">
          <x14:cfRule type="expression" priority="75" stopIfTrue="1" id="{46C69885-34C3-47E6-9872-6CD2BA3A8444}">
            <xm:f>(60 * HOUR(I22) + MINUTE(I22)) &gt;(60 * HOUR(INDEX('1.Locations'!G2:G32,C22 + 1)) +MINUTE(INDEX('1.Locations'!G2:G32,C22 + 1)))</xm:f>
            <x14:dxf>
              <fill>
                <patternFill>
                  <bgColor indexed="10"/>
                </patternFill>
              </fill>
            </x14:dxf>
          </x14:cfRule>
          <xm:sqref>I22</xm:sqref>
        </x14:conditionalFormatting>
        <x14:conditionalFormatting xmlns:xm="http://schemas.microsoft.com/office/excel/2006/main">
          <x14:cfRule type="cellIs" priority="76" stopIfTrue="1" operator="lessThan" id="{339DE0E8-B53C-498B-AF26-1458833749EA}">
            <xm:f>INDEX('1.Locations'!F2:F32,C23 + 1)</xm:f>
            <x14:dxf>
              <fill>
                <patternFill>
                  <bgColor indexed="52"/>
                </patternFill>
              </fill>
            </x14:dxf>
          </x14:cfRule>
          <xm:sqref>H23</xm:sqref>
        </x14:conditionalFormatting>
        <x14:conditionalFormatting xmlns:xm="http://schemas.microsoft.com/office/excel/2006/main">
          <x14:cfRule type="expression" priority="77" stopIfTrue="1" id="{0F08A6B6-BAEF-4617-85C4-565232D7BE85}">
            <xm:f>(60 * HOUR(I23) + MINUTE(I23)) &gt;(60 * HOUR(INDEX('1.Locations'!G2:G32,C23 + 1)) +MINUTE(INDEX('1.Locations'!G2:G32,C23 + 1)))</xm:f>
            <x14:dxf>
              <fill>
                <patternFill>
                  <bgColor indexed="10"/>
                </patternFill>
              </fill>
            </x14:dxf>
          </x14:cfRule>
          <xm:sqref>I23</xm:sqref>
        </x14:conditionalFormatting>
        <x14:conditionalFormatting xmlns:xm="http://schemas.microsoft.com/office/excel/2006/main">
          <x14:cfRule type="cellIs" priority="78" stopIfTrue="1" operator="lessThan" id="{1D2EA620-1534-41E4-80CB-6BF5AED7B1FD}">
            <xm:f>INDEX('1.Locations'!F2:F32,C24 + 1)</xm:f>
            <x14:dxf>
              <fill>
                <patternFill>
                  <bgColor indexed="52"/>
                </patternFill>
              </fill>
            </x14:dxf>
          </x14:cfRule>
          <xm:sqref>H24</xm:sqref>
        </x14:conditionalFormatting>
        <x14:conditionalFormatting xmlns:xm="http://schemas.microsoft.com/office/excel/2006/main">
          <x14:cfRule type="expression" priority="79" stopIfTrue="1" id="{FA2471BC-2385-4161-9580-2789C00CFA28}">
            <xm:f>(60 * HOUR(I24) + MINUTE(I24)) &gt;(60 * HOUR(INDEX('1.Locations'!G2:G32,C24 + 1)) +MINUTE(INDEX('1.Locations'!G2:G32,C24 + 1)))</xm:f>
            <x14:dxf>
              <fill>
                <patternFill>
                  <bgColor indexed="10"/>
                </patternFill>
              </fill>
            </x14:dxf>
          </x14:cfRule>
          <xm:sqref>I24</xm:sqref>
        </x14:conditionalFormatting>
        <x14:conditionalFormatting xmlns:xm="http://schemas.microsoft.com/office/excel/2006/main">
          <x14:cfRule type="cellIs" priority="80" stopIfTrue="1" operator="lessThan" id="{7B14DDEF-0BCC-4E29-8F1D-5BE56700F55D}">
            <xm:f>INDEX('1.Locations'!F2:F32,C25 + 1)</xm:f>
            <x14:dxf>
              <fill>
                <patternFill>
                  <bgColor indexed="52"/>
                </patternFill>
              </fill>
            </x14:dxf>
          </x14:cfRule>
          <xm:sqref>H25</xm:sqref>
        </x14:conditionalFormatting>
        <x14:conditionalFormatting xmlns:xm="http://schemas.microsoft.com/office/excel/2006/main">
          <x14:cfRule type="expression" priority="81" stopIfTrue="1" id="{5694B26E-ADE1-4461-9478-39CE8E81413B}">
            <xm:f>(60 * HOUR(I25) + MINUTE(I25)) &gt;(60 * HOUR(INDEX('1.Locations'!G2:G32,C25 + 1)) +MINUTE(INDEX('1.Locations'!G2:G32,C25 + 1)))</xm:f>
            <x14:dxf>
              <fill>
                <patternFill>
                  <bgColor indexed="10"/>
                </patternFill>
              </fill>
            </x14:dxf>
          </x14:cfRule>
          <xm:sqref>I25</xm:sqref>
        </x14:conditionalFormatting>
        <x14:conditionalFormatting xmlns:xm="http://schemas.microsoft.com/office/excel/2006/main">
          <x14:cfRule type="cellIs" priority="82" stopIfTrue="1" operator="lessThan" id="{EA80ED86-DB66-4B59-8EF5-00564AC250FC}">
            <xm:f>INDEX('1.Locations'!F2:F32,C26 + 1)</xm:f>
            <x14:dxf>
              <fill>
                <patternFill>
                  <bgColor indexed="52"/>
                </patternFill>
              </fill>
            </x14:dxf>
          </x14:cfRule>
          <xm:sqref>H26</xm:sqref>
        </x14:conditionalFormatting>
        <x14:conditionalFormatting xmlns:xm="http://schemas.microsoft.com/office/excel/2006/main">
          <x14:cfRule type="expression" priority="83" stopIfTrue="1" id="{4FD95726-54D1-46A9-B53C-CBFA88204548}">
            <xm:f>(60 * HOUR(I26) + MINUTE(I26)) &gt;(60 * HOUR(INDEX('1.Locations'!G2:G32,C26 + 1)) +MINUTE(INDEX('1.Locations'!G2:G32,C26 + 1)))</xm:f>
            <x14:dxf>
              <fill>
                <patternFill>
                  <bgColor indexed="10"/>
                </patternFill>
              </fill>
            </x14:dxf>
          </x14:cfRule>
          <xm:sqref>I26</xm:sqref>
        </x14:conditionalFormatting>
        <x14:conditionalFormatting xmlns:xm="http://schemas.microsoft.com/office/excel/2006/main">
          <x14:cfRule type="cellIs" priority="84" stopIfTrue="1" operator="lessThan" id="{AF0755D0-4C61-4D41-92C7-12191C9F44D3}">
            <xm:f>INDEX('1.Locations'!F2:F32,C27 + 1)</xm:f>
            <x14:dxf>
              <fill>
                <patternFill>
                  <bgColor indexed="52"/>
                </patternFill>
              </fill>
            </x14:dxf>
          </x14:cfRule>
          <xm:sqref>H27</xm:sqref>
        </x14:conditionalFormatting>
        <x14:conditionalFormatting xmlns:xm="http://schemas.microsoft.com/office/excel/2006/main">
          <x14:cfRule type="expression" priority="85" stopIfTrue="1" id="{E134557F-39BD-4FDF-AA04-28ED1E0B7E52}">
            <xm:f>(60 * HOUR(I27) + MINUTE(I27)) &gt;(60 * HOUR(INDEX('1.Locations'!G2:G32,C27 + 1)) +MINUTE(INDEX('1.Locations'!G2:G32,C27 + 1)))</xm:f>
            <x14:dxf>
              <fill>
                <patternFill>
                  <bgColor indexed="10"/>
                </patternFill>
              </fill>
            </x14:dxf>
          </x14:cfRule>
          <xm:sqref>I27</xm:sqref>
        </x14:conditionalFormatting>
        <x14:conditionalFormatting xmlns:xm="http://schemas.microsoft.com/office/excel/2006/main">
          <x14:cfRule type="cellIs" priority="86" stopIfTrue="1" operator="lessThan" id="{427EF8DA-F0F3-4531-9B6A-60668F2929DE}">
            <xm:f>INDEX('1.Locations'!F2:F32,C28 + 1)</xm:f>
            <x14:dxf>
              <fill>
                <patternFill>
                  <bgColor indexed="52"/>
                </patternFill>
              </fill>
            </x14:dxf>
          </x14:cfRule>
          <xm:sqref>H28</xm:sqref>
        </x14:conditionalFormatting>
        <x14:conditionalFormatting xmlns:xm="http://schemas.microsoft.com/office/excel/2006/main">
          <x14:cfRule type="expression" priority="87" stopIfTrue="1" id="{5D64A692-7C1D-4F1B-AA84-3808A0E40D29}">
            <xm:f>(60 * HOUR(I28) + MINUTE(I28)) &gt;(60 * HOUR(INDEX('1.Locations'!G2:G32,C28 + 1)) +MINUTE(INDEX('1.Locations'!G2:G32,C28 + 1)))</xm:f>
            <x14:dxf>
              <fill>
                <patternFill>
                  <bgColor indexed="10"/>
                </patternFill>
              </fill>
            </x14:dxf>
          </x14:cfRule>
          <xm:sqref>I28</xm:sqref>
        </x14:conditionalFormatting>
        <x14:conditionalFormatting xmlns:xm="http://schemas.microsoft.com/office/excel/2006/main">
          <x14:cfRule type="cellIs" priority="88" stopIfTrue="1" operator="lessThan" id="{44CEAA24-A5F9-46A7-8553-BC8FF00F3BDD}">
            <xm:f>INDEX('1.Locations'!F2:F32,C29 + 1)</xm:f>
            <x14:dxf>
              <fill>
                <patternFill>
                  <bgColor indexed="52"/>
                </patternFill>
              </fill>
            </x14:dxf>
          </x14:cfRule>
          <xm:sqref>H29</xm:sqref>
        </x14:conditionalFormatting>
        <x14:conditionalFormatting xmlns:xm="http://schemas.microsoft.com/office/excel/2006/main">
          <x14:cfRule type="expression" priority="89" stopIfTrue="1" id="{E15D34A3-3F17-40DE-9F09-ADF1982E75DF}">
            <xm:f>(60 * HOUR(I29) + MINUTE(I29)) &gt;(60 * HOUR(INDEX('1.Locations'!G2:G32,C29 + 1)) +MINUTE(INDEX('1.Locations'!G2:G32,C29 + 1)))</xm:f>
            <x14:dxf>
              <fill>
                <patternFill>
                  <bgColor indexed="10"/>
                </patternFill>
              </fill>
            </x14:dxf>
          </x14:cfRule>
          <xm:sqref>I29</xm:sqref>
        </x14:conditionalFormatting>
        <x14:conditionalFormatting xmlns:xm="http://schemas.microsoft.com/office/excel/2006/main">
          <x14:cfRule type="cellIs" priority="90" stopIfTrue="1" operator="lessThan" id="{DFCCC54A-BC10-41A9-A96A-A04C85C490F6}">
            <xm:f>INDEX('1.Locations'!F2:F32,C30 + 1)</xm:f>
            <x14:dxf>
              <fill>
                <patternFill>
                  <bgColor indexed="52"/>
                </patternFill>
              </fill>
            </x14:dxf>
          </x14:cfRule>
          <xm:sqref>H30</xm:sqref>
        </x14:conditionalFormatting>
        <x14:conditionalFormatting xmlns:xm="http://schemas.microsoft.com/office/excel/2006/main">
          <x14:cfRule type="expression" priority="91" stopIfTrue="1" id="{F371120D-FAEF-404E-BE67-47701A399049}">
            <xm:f>(60 * HOUR(I30) + MINUTE(I30)) &gt;(60 * HOUR(INDEX('1.Locations'!G2:G32,C30 + 1)) +MINUTE(INDEX('1.Locations'!G2:G32,C30 + 1)))</xm:f>
            <x14:dxf>
              <fill>
                <patternFill>
                  <bgColor indexed="10"/>
                </patternFill>
              </fill>
            </x14:dxf>
          </x14:cfRule>
          <xm:sqref>I30</xm:sqref>
        </x14:conditionalFormatting>
        <x14:conditionalFormatting xmlns:xm="http://schemas.microsoft.com/office/excel/2006/main">
          <x14:cfRule type="cellIs" priority="92" stopIfTrue="1" operator="lessThan" id="{731754BB-E250-4639-BB87-4A48C26E859A}">
            <xm:f>INDEX('1.Locations'!F2:F32,C31 + 1)</xm:f>
            <x14:dxf>
              <fill>
                <patternFill>
                  <bgColor indexed="52"/>
                </patternFill>
              </fill>
            </x14:dxf>
          </x14:cfRule>
          <xm:sqref>H31</xm:sqref>
        </x14:conditionalFormatting>
        <x14:conditionalFormatting xmlns:xm="http://schemas.microsoft.com/office/excel/2006/main">
          <x14:cfRule type="expression" priority="93" stopIfTrue="1" id="{B1821CB8-56F0-4B11-A779-2FA87221C003}">
            <xm:f>(60 * HOUR(I31) + MINUTE(I31)) &gt;(60 * HOUR(INDEX('1.Locations'!G2:G32,C31 + 1)) +MINUTE(INDEX('1.Locations'!G2:G32,C31 + 1)))</xm:f>
            <x14:dxf>
              <fill>
                <patternFill>
                  <bgColor indexed="10"/>
                </patternFill>
              </fill>
            </x14:dxf>
          </x14:cfRule>
          <xm:sqref>I31</xm:sqref>
        </x14:conditionalFormatting>
        <x14:conditionalFormatting xmlns:xm="http://schemas.microsoft.com/office/excel/2006/main">
          <x14:cfRule type="cellIs" priority="94" stopIfTrue="1" operator="lessThan" id="{3EE8F7F7-AF57-4B21-8C12-F538CEBDCA1E}">
            <xm:f>INDEX('1.Locations'!F2:F32,C32 + 1)</xm:f>
            <x14:dxf>
              <fill>
                <patternFill>
                  <bgColor indexed="52"/>
                </patternFill>
              </fill>
            </x14:dxf>
          </x14:cfRule>
          <xm:sqref>H32</xm:sqref>
        </x14:conditionalFormatting>
        <x14:conditionalFormatting xmlns:xm="http://schemas.microsoft.com/office/excel/2006/main">
          <x14:cfRule type="expression" priority="95" stopIfTrue="1" id="{B304631B-DF6D-4AED-BEA9-8048B3D0851A}">
            <xm:f>(60 * HOUR(I32) + MINUTE(I32)) &gt;(60 * HOUR(INDEX('1.Locations'!G2:G32,C32 + 1)) +MINUTE(INDEX('1.Locations'!G2:G32,C32 + 1)))</xm:f>
            <x14:dxf>
              <fill>
                <patternFill>
                  <bgColor indexed="10"/>
                </patternFill>
              </fill>
            </x14:dxf>
          </x14:cfRule>
          <xm:sqref>I32</xm:sqref>
        </x14:conditionalFormatting>
        <x14:conditionalFormatting xmlns:xm="http://schemas.microsoft.com/office/excel/2006/main">
          <x14:cfRule type="cellIs" priority="96" stopIfTrue="1" operator="lessThan" id="{BC7F46EC-58BE-425F-A604-9A2D3DFB0A04}">
            <xm:f>INDEX('1.Locations'!F2:F32,C33 + 1)</xm:f>
            <x14:dxf>
              <fill>
                <patternFill>
                  <bgColor indexed="52"/>
                </patternFill>
              </fill>
            </x14:dxf>
          </x14:cfRule>
          <xm:sqref>H33</xm:sqref>
        </x14:conditionalFormatting>
        <x14:conditionalFormatting xmlns:xm="http://schemas.microsoft.com/office/excel/2006/main">
          <x14:cfRule type="expression" priority="97" stopIfTrue="1" id="{CE671C14-8D61-41A6-910B-882852BD4692}">
            <xm:f>(60 * HOUR(I33) + MINUTE(I33)) &gt;(60 * HOUR(INDEX('1.Locations'!G2:G32,C33 + 1)) +MINUTE(INDEX('1.Locations'!G2:G32,C33 + 1)))</xm:f>
            <x14:dxf>
              <fill>
                <patternFill>
                  <bgColor indexed="10"/>
                </patternFill>
              </fill>
            </x14:dxf>
          </x14:cfRule>
          <xm:sqref>I33</xm:sqref>
        </x14:conditionalFormatting>
        <x14:conditionalFormatting xmlns:xm="http://schemas.microsoft.com/office/excel/2006/main">
          <x14:cfRule type="cellIs" priority="98" stopIfTrue="1" operator="lessThan" id="{156B1E22-62B2-436A-8EDD-E0C732711AF2}">
            <xm:f>INDEX('1.Locations'!F2:F32,C34 + 1)</xm:f>
            <x14:dxf>
              <fill>
                <patternFill>
                  <bgColor indexed="52"/>
                </patternFill>
              </fill>
            </x14:dxf>
          </x14:cfRule>
          <xm:sqref>H34</xm:sqref>
        </x14:conditionalFormatting>
        <x14:conditionalFormatting xmlns:xm="http://schemas.microsoft.com/office/excel/2006/main">
          <x14:cfRule type="expression" priority="99" stopIfTrue="1" id="{C1D7AAF2-CE0A-4683-8BD5-0BC272E8D216}">
            <xm:f>(60 * HOUR(I34) + MINUTE(I34)) &gt;(60 * HOUR(INDEX('1.Locations'!G2:G32,C34 + 1)) +MINUTE(INDEX('1.Locations'!G2:G32,C34 + 1)))</xm:f>
            <x14:dxf>
              <fill>
                <patternFill>
                  <bgColor indexed="10"/>
                </patternFill>
              </fill>
            </x14:dxf>
          </x14:cfRule>
          <xm:sqref>I34</xm:sqref>
        </x14:conditionalFormatting>
        <x14:conditionalFormatting xmlns:xm="http://schemas.microsoft.com/office/excel/2006/main">
          <x14:cfRule type="cellIs" priority="100" stopIfTrue="1" operator="lessThan" id="{773CF890-55DB-4170-A107-AC7CB208316A}">
            <xm:f>INDEX('1.Locations'!F2:F32,C35 + 1)</xm:f>
            <x14:dxf>
              <fill>
                <patternFill>
                  <bgColor indexed="52"/>
                </patternFill>
              </fill>
            </x14:dxf>
          </x14:cfRule>
          <xm:sqref>H35</xm:sqref>
        </x14:conditionalFormatting>
        <x14:conditionalFormatting xmlns:xm="http://schemas.microsoft.com/office/excel/2006/main">
          <x14:cfRule type="expression" priority="101" stopIfTrue="1" id="{BB1E8F5E-2E5E-4A58-9F7C-52A6FECBB488}">
            <xm:f>(60 * HOUR(I35) + MINUTE(I35)) &gt;(60 * HOUR(INDEX('1.Locations'!G2:G32,C35 + 1)) +MINUTE(INDEX('1.Locations'!G2:G32,C35 + 1)))</xm:f>
            <x14:dxf>
              <fill>
                <patternFill>
                  <bgColor indexed="10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cellIs" priority="102" stopIfTrue="1" operator="lessThan" id="{6BD6725B-6441-44F9-9A24-0895E2DBDF9A}">
            <xm:f>INDEX('1.Locations'!F2:F32,C36 + 1)</xm:f>
            <x14:dxf>
              <fill>
                <patternFill>
                  <bgColor indexed="52"/>
                </patternFill>
              </fill>
            </x14:dxf>
          </x14:cfRule>
          <xm:sqref>H36</xm:sqref>
        </x14:conditionalFormatting>
        <x14:conditionalFormatting xmlns:xm="http://schemas.microsoft.com/office/excel/2006/main">
          <x14:cfRule type="expression" priority="103" stopIfTrue="1" id="{0CA3D2F1-BBC7-40C0-AD0D-C17CEF8AE905}">
            <xm:f>(60 * HOUR(I36) + MINUTE(I36)) &gt;(60 * HOUR(INDEX('1.Locations'!G2:G32,C36 + 1)) +MINUTE(INDEX('1.Locations'!G2:G32,C36 + 1)))</xm:f>
            <x14:dxf>
              <fill>
                <patternFill>
                  <bgColor indexed="10"/>
                </patternFill>
              </fill>
            </x14:dxf>
          </x14:cfRule>
          <xm:sqref>I36</xm:sqref>
        </x14:conditionalFormatting>
        <x14:conditionalFormatting xmlns:xm="http://schemas.microsoft.com/office/excel/2006/main">
          <x14:cfRule type="cellIs" priority="104" stopIfTrue="1" operator="greaterThan" id="{7AAEB426-AF8B-46AA-BD9B-3EDE6001468D}">
            <xm:f>'3.Vehicles'!$F$2</xm:f>
            <x14:dxf>
              <fill>
                <patternFill>
                  <bgColor indexed="10"/>
                </patternFill>
              </fill>
            </x14:dxf>
          </x14:cfRule>
          <xm:sqref>F6:F36</xm:sqref>
        </x14:conditionalFormatting>
        <x14:conditionalFormatting xmlns:xm="http://schemas.microsoft.com/office/excel/2006/main">
          <x14:cfRule type="cellIs" priority="105" stopIfTrue="1" operator="greaterThan" id="{CAE62CE7-DAF2-410E-B847-2132611A0A15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N5:N36</xm:sqref>
        </x14:conditionalFormatting>
        <x14:conditionalFormatting xmlns:xm="http://schemas.microsoft.com/office/excel/2006/main">
          <x14:cfRule type="cellIs" priority="107" stopIfTrue="1" operator="greaterThan" id="{7EAAAB8D-6C50-42F9-A45B-29FBCBA4D1E6}">
            <xm:f>'3.Vehicles'!$H$2</xm:f>
            <x14:dxf>
              <fill>
                <patternFill>
                  <bgColor indexed="10"/>
                </patternFill>
              </fill>
            </x14:dxf>
          </x14:cfRule>
          <xm:sqref>G6:G36</xm:sqref>
        </x14:conditionalFormatting>
        <x14:conditionalFormatting xmlns:xm="http://schemas.microsoft.com/office/excel/2006/main">
          <x14:cfRule type="cellIs" priority="108" stopIfTrue="1" operator="greaterThan" id="{497600FF-750B-4CD0-8C03-BFF68A2AA8CF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J6:J36</xm:sqref>
        </x14:conditionalFormatting>
        <x14:conditionalFormatting xmlns:xm="http://schemas.microsoft.com/office/excel/2006/main">
          <x14:cfRule type="expression" priority="110" stopIfTrue="1" id="{A3E0055D-EFA6-49A3-9C94-759C02A9D8ED}">
            <xm:f>(60 * HOUR(X5) + MINUTE(X5)) &gt;(60 * HOUR(INDEX('1.Locations'!G2:G32,R5 + 1)) +MINUTE(INDEX('1.Locations'!G2:G32,R5 + 1)))</xm:f>
            <x14:dxf>
              <fill>
                <patternFill>
                  <bgColor indexed="10"/>
                </patternFill>
              </fill>
            </x14:dxf>
          </x14:cfRule>
          <xm:sqref>X5</xm:sqref>
        </x14:conditionalFormatting>
        <x14:conditionalFormatting xmlns:xm="http://schemas.microsoft.com/office/excel/2006/main">
          <x14:cfRule type="cellIs" priority="111" stopIfTrue="1" operator="lessThan" id="{8E57A9E6-5E55-4C60-AE26-7FD37B3B3009}">
            <xm:f>INDEX('1.Locations'!F2:F32,R6 + 1)</xm:f>
            <x14:dxf>
              <fill>
                <patternFill>
                  <bgColor indexed="52"/>
                </patternFill>
              </fill>
            </x14:dxf>
          </x14:cfRule>
          <xm:sqref>W6</xm:sqref>
        </x14:conditionalFormatting>
        <x14:conditionalFormatting xmlns:xm="http://schemas.microsoft.com/office/excel/2006/main">
          <x14:cfRule type="expression" priority="112" stopIfTrue="1" id="{24685216-5DF1-4684-A38B-D0B30761141D}">
            <xm:f>(60 * HOUR(X6) + MINUTE(X6)) &gt;(60 * HOUR(INDEX('1.Locations'!G2:G32,R6 + 1)) +MINUTE(INDEX('1.Locations'!G2:G32,R6 + 1)))</xm:f>
            <x14:dxf>
              <fill>
                <patternFill>
                  <bgColor indexed="10"/>
                </patternFill>
              </fill>
            </x14:dxf>
          </x14:cfRule>
          <xm:sqref>X6</xm:sqref>
        </x14:conditionalFormatting>
        <x14:conditionalFormatting xmlns:xm="http://schemas.microsoft.com/office/excel/2006/main">
          <x14:cfRule type="cellIs" priority="113" stopIfTrue="1" operator="lessThan" id="{5C9A79CD-017C-405E-A8FA-275A246C95C8}">
            <xm:f>INDEX('1.Locations'!F2:F32,R7 + 1)</xm:f>
            <x14:dxf>
              <fill>
                <patternFill>
                  <bgColor indexed="52"/>
                </patternFill>
              </fill>
            </x14:dxf>
          </x14:cfRule>
          <xm:sqref>W7</xm:sqref>
        </x14:conditionalFormatting>
        <x14:conditionalFormatting xmlns:xm="http://schemas.microsoft.com/office/excel/2006/main">
          <x14:cfRule type="expression" priority="114" stopIfTrue="1" id="{926E5D88-FB6D-4433-808B-B355F1E30DAC}">
            <xm:f>(60 * HOUR(X7) + MINUTE(X7)) &gt;(60 * HOUR(INDEX('1.Locations'!G2:G32,R7 + 1)) +MINUTE(INDEX('1.Locations'!G2:G32,R7 + 1)))</xm:f>
            <x14:dxf>
              <fill>
                <patternFill>
                  <bgColor indexed="10"/>
                </patternFill>
              </fill>
            </x14:dxf>
          </x14:cfRule>
          <xm:sqref>X7</xm:sqref>
        </x14:conditionalFormatting>
        <x14:conditionalFormatting xmlns:xm="http://schemas.microsoft.com/office/excel/2006/main">
          <x14:cfRule type="cellIs" priority="115" stopIfTrue="1" operator="lessThan" id="{0BC586B2-E941-48D8-A49D-E8D08EE37378}">
            <xm:f>INDEX('1.Locations'!F2:F32,R8 + 1)</xm:f>
            <x14:dxf>
              <fill>
                <patternFill>
                  <bgColor indexed="52"/>
                </patternFill>
              </fill>
            </x14:dxf>
          </x14:cfRule>
          <xm:sqref>W8</xm:sqref>
        </x14:conditionalFormatting>
        <x14:conditionalFormatting xmlns:xm="http://schemas.microsoft.com/office/excel/2006/main">
          <x14:cfRule type="expression" priority="116" stopIfTrue="1" id="{4B740E4D-C05B-40F0-8E5B-76B8DA326C59}">
            <xm:f>(60 * HOUR(X8) + MINUTE(X8)) &gt;(60 * HOUR(INDEX('1.Locations'!G2:G32,R8 + 1)) +MINUTE(INDEX('1.Locations'!G2:G32,R8 + 1)))</xm:f>
            <x14:dxf>
              <fill>
                <patternFill>
                  <bgColor indexed="10"/>
                </patternFill>
              </fill>
            </x14:dxf>
          </x14:cfRule>
          <xm:sqref>X8</xm:sqref>
        </x14:conditionalFormatting>
        <x14:conditionalFormatting xmlns:xm="http://schemas.microsoft.com/office/excel/2006/main">
          <x14:cfRule type="cellIs" priority="117" stopIfTrue="1" operator="lessThan" id="{A481247E-C7ED-4D55-8C1A-83E4965536F0}">
            <xm:f>INDEX('1.Locations'!F2:F32,R9 + 1)</xm:f>
            <x14:dxf>
              <fill>
                <patternFill>
                  <bgColor indexed="52"/>
                </patternFill>
              </fill>
            </x14:dxf>
          </x14:cfRule>
          <xm:sqref>W9</xm:sqref>
        </x14:conditionalFormatting>
        <x14:conditionalFormatting xmlns:xm="http://schemas.microsoft.com/office/excel/2006/main">
          <x14:cfRule type="expression" priority="118" stopIfTrue="1" id="{CAC3C7BF-EADA-4CAE-B352-AFFB01A00802}">
            <xm:f>(60 * HOUR(X9) + MINUTE(X9)) &gt;(60 * HOUR(INDEX('1.Locations'!G2:G32,R9 + 1)) +MINUTE(INDEX('1.Locations'!G2:G32,R9 + 1)))</xm:f>
            <x14:dxf>
              <fill>
                <patternFill>
                  <bgColor indexed="10"/>
                </patternFill>
              </fill>
            </x14:dxf>
          </x14:cfRule>
          <xm:sqref>X9</xm:sqref>
        </x14:conditionalFormatting>
        <x14:conditionalFormatting xmlns:xm="http://schemas.microsoft.com/office/excel/2006/main">
          <x14:cfRule type="cellIs" priority="119" stopIfTrue="1" operator="lessThan" id="{3532A88D-D9A0-4014-9F04-007B1D9FEF22}">
            <xm:f>INDEX('1.Locations'!F2:F32,R10 + 1)</xm:f>
            <x14:dxf>
              <fill>
                <patternFill>
                  <bgColor indexed="52"/>
                </patternFill>
              </fill>
            </x14:dxf>
          </x14:cfRule>
          <xm:sqref>W10</xm:sqref>
        </x14:conditionalFormatting>
        <x14:conditionalFormatting xmlns:xm="http://schemas.microsoft.com/office/excel/2006/main">
          <x14:cfRule type="expression" priority="120" stopIfTrue="1" id="{BBCB831F-B817-4EBB-8E14-5B1DBCA09D28}">
            <xm:f>(60 * HOUR(X10) + MINUTE(X10)) &gt;(60 * HOUR(INDEX('1.Locations'!G2:G32,R10 + 1)) +MINUTE(INDEX('1.Locations'!G2:G32,R10 + 1)))</xm:f>
            <x14:dxf>
              <fill>
                <patternFill>
                  <bgColor indexed="10"/>
                </patternFill>
              </fill>
            </x14:dxf>
          </x14:cfRule>
          <xm:sqref>X10</xm:sqref>
        </x14:conditionalFormatting>
        <x14:conditionalFormatting xmlns:xm="http://schemas.microsoft.com/office/excel/2006/main">
          <x14:cfRule type="cellIs" priority="121" stopIfTrue="1" operator="lessThan" id="{A1A40130-CC95-4329-8327-665B57456A49}">
            <xm:f>INDEX('1.Locations'!F2:F32,R11 + 1)</xm:f>
            <x14:dxf>
              <fill>
                <patternFill>
                  <bgColor indexed="52"/>
                </patternFill>
              </fill>
            </x14:dxf>
          </x14:cfRule>
          <xm:sqref>W11</xm:sqref>
        </x14:conditionalFormatting>
        <x14:conditionalFormatting xmlns:xm="http://schemas.microsoft.com/office/excel/2006/main">
          <x14:cfRule type="expression" priority="122" stopIfTrue="1" id="{AD4B885F-1957-4612-9ECB-D7FEA5080C67}">
            <xm:f>(60 * HOUR(X11) + MINUTE(X11)) &gt;(60 * HOUR(INDEX('1.Locations'!G2:G32,R11 + 1)) +MINUTE(INDEX('1.Locations'!G2:G32,R11 + 1)))</xm:f>
            <x14:dxf>
              <fill>
                <patternFill>
                  <bgColor indexed="10"/>
                </patternFill>
              </fill>
            </x14:dxf>
          </x14:cfRule>
          <xm:sqref>X11</xm:sqref>
        </x14:conditionalFormatting>
        <x14:conditionalFormatting xmlns:xm="http://schemas.microsoft.com/office/excel/2006/main">
          <x14:cfRule type="cellIs" priority="123" stopIfTrue="1" operator="lessThan" id="{75B6CEF8-DEC6-4EE6-B9F9-2CC66AE046FF}">
            <xm:f>INDEX('1.Locations'!F2:F32,R12 + 1)</xm:f>
            <x14:dxf>
              <fill>
                <patternFill>
                  <bgColor indexed="52"/>
                </patternFill>
              </fill>
            </x14:dxf>
          </x14:cfRule>
          <xm:sqref>W12</xm:sqref>
        </x14:conditionalFormatting>
        <x14:conditionalFormatting xmlns:xm="http://schemas.microsoft.com/office/excel/2006/main">
          <x14:cfRule type="expression" priority="124" stopIfTrue="1" id="{19D5BF4B-A344-4623-BFB6-F033B7EEF704}">
            <xm:f>(60 * HOUR(X12) + MINUTE(X12)) &gt;(60 * HOUR(INDEX('1.Locations'!G2:G32,R12 + 1)) +MINUTE(INDEX('1.Locations'!G2:G32,R12 + 1)))</xm:f>
            <x14:dxf>
              <fill>
                <patternFill>
                  <bgColor indexed="10"/>
                </patternFill>
              </fill>
            </x14:dxf>
          </x14:cfRule>
          <xm:sqref>X12</xm:sqref>
        </x14:conditionalFormatting>
        <x14:conditionalFormatting xmlns:xm="http://schemas.microsoft.com/office/excel/2006/main">
          <x14:cfRule type="cellIs" priority="125" stopIfTrue="1" operator="lessThan" id="{C183788E-8076-451C-A15B-18205F5D9388}">
            <xm:f>INDEX('1.Locations'!F2:F32,R13 + 1)</xm:f>
            <x14:dxf>
              <fill>
                <patternFill>
                  <bgColor indexed="52"/>
                </patternFill>
              </fill>
            </x14:dxf>
          </x14:cfRule>
          <xm:sqref>W13</xm:sqref>
        </x14:conditionalFormatting>
        <x14:conditionalFormatting xmlns:xm="http://schemas.microsoft.com/office/excel/2006/main">
          <x14:cfRule type="expression" priority="126" stopIfTrue="1" id="{CD567F36-4ECA-430B-B5EE-BD522F017C36}">
            <xm:f>(60 * HOUR(X13) + MINUTE(X13)) &gt;(60 * HOUR(INDEX('1.Locations'!G2:G32,R13 + 1)) +MINUTE(INDEX('1.Locations'!G2:G32,R13 + 1)))</xm:f>
            <x14:dxf>
              <fill>
                <patternFill>
                  <bgColor indexed="10"/>
                </patternFill>
              </fill>
            </x14:dxf>
          </x14:cfRule>
          <xm:sqref>X13</xm:sqref>
        </x14:conditionalFormatting>
        <x14:conditionalFormatting xmlns:xm="http://schemas.microsoft.com/office/excel/2006/main">
          <x14:cfRule type="cellIs" priority="127" stopIfTrue="1" operator="lessThan" id="{D9216B9F-9D42-466F-81D8-BE6514C3BDD2}">
            <xm:f>INDEX('1.Locations'!F2:F32,R14 + 1)</xm:f>
            <x14:dxf>
              <fill>
                <patternFill>
                  <bgColor indexed="52"/>
                </patternFill>
              </fill>
            </x14:dxf>
          </x14:cfRule>
          <xm:sqref>W14</xm:sqref>
        </x14:conditionalFormatting>
        <x14:conditionalFormatting xmlns:xm="http://schemas.microsoft.com/office/excel/2006/main">
          <x14:cfRule type="expression" priority="128" stopIfTrue="1" id="{12B98ED0-8343-4A71-8C17-7A53BFFDAE30}">
            <xm:f>(60 * HOUR(X14) + MINUTE(X14)) &gt;(60 * HOUR(INDEX('1.Locations'!G2:G32,R14 + 1)) +MINUTE(INDEX('1.Locations'!G2:G32,R14 + 1)))</xm:f>
            <x14:dxf>
              <fill>
                <patternFill>
                  <bgColor indexed="10"/>
                </patternFill>
              </fill>
            </x14:dxf>
          </x14:cfRule>
          <xm:sqref>X14</xm:sqref>
        </x14:conditionalFormatting>
        <x14:conditionalFormatting xmlns:xm="http://schemas.microsoft.com/office/excel/2006/main">
          <x14:cfRule type="cellIs" priority="129" stopIfTrue="1" operator="lessThan" id="{82778F69-3A99-49F8-9FAD-2780CDDE7C29}">
            <xm:f>INDEX('1.Locations'!F2:F32,R15 + 1)</xm:f>
            <x14:dxf>
              <fill>
                <patternFill>
                  <bgColor indexed="52"/>
                </patternFill>
              </fill>
            </x14:dxf>
          </x14:cfRule>
          <xm:sqref>W15</xm:sqref>
        </x14:conditionalFormatting>
        <x14:conditionalFormatting xmlns:xm="http://schemas.microsoft.com/office/excel/2006/main">
          <x14:cfRule type="expression" priority="130" stopIfTrue="1" id="{43A33F0F-C4C0-4193-A7DD-B497151936AC}">
            <xm:f>(60 * HOUR(X15) + MINUTE(X15)) &gt;(60 * HOUR(INDEX('1.Locations'!G2:G32,R15 + 1)) +MINUTE(INDEX('1.Locations'!G2:G32,R15 + 1)))</xm:f>
            <x14:dxf>
              <fill>
                <patternFill>
                  <bgColor indexed="10"/>
                </patternFill>
              </fill>
            </x14:dxf>
          </x14:cfRule>
          <xm:sqref>X15</xm:sqref>
        </x14:conditionalFormatting>
        <x14:conditionalFormatting xmlns:xm="http://schemas.microsoft.com/office/excel/2006/main">
          <x14:cfRule type="cellIs" priority="131" stopIfTrue="1" operator="lessThan" id="{AABABA14-41E0-467E-84B5-BD5FCDB0873B}">
            <xm:f>INDEX('1.Locations'!F2:F32,R16 + 1)</xm:f>
            <x14:dxf>
              <fill>
                <patternFill>
                  <bgColor indexed="52"/>
                </patternFill>
              </fill>
            </x14:dxf>
          </x14:cfRule>
          <xm:sqref>W16</xm:sqref>
        </x14:conditionalFormatting>
        <x14:conditionalFormatting xmlns:xm="http://schemas.microsoft.com/office/excel/2006/main">
          <x14:cfRule type="expression" priority="132" stopIfTrue="1" id="{45488D92-52E3-4EE8-90EE-76CEA38B44DF}">
            <xm:f>(60 * HOUR(X16) + MINUTE(X16)) &gt;(60 * HOUR(INDEX('1.Locations'!G2:G32,R16 + 1)) +MINUTE(INDEX('1.Locations'!G2:G32,R16 + 1)))</xm:f>
            <x14:dxf>
              <fill>
                <patternFill>
                  <bgColor indexed="10"/>
                </patternFill>
              </fill>
            </x14:dxf>
          </x14:cfRule>
          <xm:sqref>X16</xm:sqref>
        </x14:conditionalFormatting>
        <x14:conditionalFormatting xmlns:xm="http://schemas.microsoft.com/office/excel/2006/main">
          <x14:cfRule type="cellIs" priority="133" stopIfTrue="1" operator="lessThan" id="{C375A54C-4425-4B7B-976F-157D8DF50F70}">
            <xm:f>INDEX('1.Locations'!F2:F32,R17 + 1)</xm:f>
            <x14:dxf>
              <fill>
                <patternFill>
                  <bgColor indexed="52"/>
                </patternFill>
              </fill>
            </x14:dxf>
          </x14:cfRule>
          <xm:sqref>W17</xm:sqref>
        </x14:conditionalFormatting>
        <x14:conditionalFormatting xmlns:xm="http://schemas.microsoft.com/office/excel/2006/main">
          <x14:cfRule type="expression" priority="134" stopIfTrue="1" id="{C3981A7C-2EC8-49FA-94C0-D9179EC2278E}">
            <xm:f>(60 * HOUR(X17) + MINUTE(X17)) &gt;(60 * HOUR(INDEX('1.Locations'!G2:G32,R17 + 1)) +MINUTE(INDEX('1.Locations'!G2:G32,R17 + 1)))</xm:f>
            <x14:dxf>
              <fill>
                <patternFill>
                  <bgColor indexed="10"/>
                </patternFill>
              </fill>
            </x14:dxf>
          </x14:cfRule>
          <xm:sqref>X17</xm:sqref>
        </x14:conditionalFormatting>
        <x14:conditionalFormatting xmlns:xm="http://schemas.microsoft.com/office/excel/2006/main">
          <x14:cfRule type="cellIs" priority="135" stopIfTrue="1" operator="lessThan" id="{8F21D981-CB83-4146-BC5C-25BEF6B82273}">
            <xm:f>INDEX('1.Locations'!F2:F32,R18 + 1)</xm:f>
            <x14:dxf>
              <fill>
                <patternFill>
                  <bgColor indexed="52"/>
                </patternFill>
              </fill>
            </x14:dxf>
          </x14:cfRule>
          <xm:sqref>W18</xm:sqref>
        </x14:conditionalFormatting>
        <x14:conditionalFormatting xmlns:xm="http://schemas.microsoft.com/office/excel/2006/main">
          <x14:cfRule type="expression" priority="136" stopIfTrue="1" id="{D3BA2C64-0946-463F-ACBD-5D621CA929D4}">
            <xm:f>(60 * HOUR(X18) + MINUTE(X18)) &gt;(60 * HOUR(INDEX('1.Locations'!G2:G32,R18 + 1)) +MINUTE(INDEX('1.Locations'!G2:G32,R18 + 1)))</xm:f>
            <x14:dxf>
              <fill>
                <patternFill>
                  <bgColor indexed="10"/>
                </patternFill>
              </fill>
            </x14:dxf>
          </x14:cfRule>
          <xm:sqref>X18</xm:sqref>
        </x14:conditionalFormatting>
        <x14:conditionalFormatting xmlns:xm="http://schemas.microsoft.com/office/excel/2006/main">
          <x14:cfRule type="cellIs" priority="137" stopIfTrue="1" operator="lessThan" id="{C3067C04-7353-45AD-85CE-C7848B2D6AA3}">
            <xm:f>INDEX('1.Locations'!F2:F32,R19 + 1)</xm:f>
            <x14:dxf>
              <fill>
                <patternFill>
                  <bgColor indexed="52"/>
                </patternFill>
              </fill>
            </x14:dxf>
          </x14:cfRule>
          <xm:sqref>W19</xm:sqref>
        </x14:conditionalFormatting>
        <x14:conditionalFormatting xmlns:xm="http://schemas.microsoft.com/office/excel/2006/main">
          <x14:cfRule type="expression" priority="138" stopIfTrue="1" id="{6A17CBD9-3C4E-46C8-810C-47306D64DCDF}">
            <xm:f>(60 * HOUR(X19) + MINUTE(X19)) &gt;(60 * HOUR(INDEX('1.Locations'!G2:G32,R19 + 1)) +MINUTE(INDEX('1.Locations'!G2:G32,R19 + 1)))</xm:f>
            <x14:dxf>
              <fill>
                <patternFill>
                  <bgColor indexed="10"/>
                </patternFill>
              </fill>
            </x14:dxf>
          </x14:cfRule>
          <xm:sqref>X19</xm:sqref>
        </x14:conditionalFormatting>
        <x14:conditionalFormatting xmlns:xm="http://schemas.microsoft.com/office/excel/2006/main">
          <x14:cfRule type="cellIs" priority="139" stopIfTrue="1" operator="lessThan" id="{0AF39262-8176-4E06-9F6E-FE80D8395BC1}">
            <xm:f>INDEX('1.Locations'!F2:F32,R20 + 1)</xm:f>
            <x14:dxf>
              <fill>
                <patternFill>
                  <bgColor indexed="52"/>
                </patternFill>
              </fill>
            </x14:dxf>
          </x14:cfRule>
          <xm:sqref>W20</xm:sqref>
        </x14:conditionalFormatting>
        <x14:conditionalFormatting xmlns:xm="http://schemas.microsoft.com/office/excel/2006/main">
          <x14:cfRule type="expression" priority="140" stopIfTrue="1" id="{1918CFA5-BA0B-4C8A-B09C-03E5FA23CEEA}">
            <xm:f>(60 * HOUR(X20) + MINUTE(X20)) &gt;(60 * HOUR(INDEX('1.Locations'!G2:G32,R20 + 1)) +MINUTE(INDEX('1.Locations'!G2:G32,R20 + 1)))</xm:f>
            <x14:dxf>
              <fill>
                <patternFill>
                  <bgColor indexed="10"/>
                </patternFill>
              </fill>
            </x14:dxf>
          </x14:cfRule>
          <xm:sqref>X20</xm:sqref>
        </x14:conditionalFormatting>
        <x14:conditionalFormatting xmlns:xm="http://schemas.microsoft.com/office/excel/2006/main">
          <x14:cfRule type="cellIs" priority="141" stopIfTrue="1" operator="lessThan" id="{EDB5B16C-2075-440A-B649-617E9C646C65}">
            <xm:f>INDEX('1.Locations'!F2:F32,R21 + 1)</xm:f>
            <x14:dxf>
              <fill>
                <patternFill>
                  <bgColor indexed="52"/>
                </patternFill>
              </fill>
            </x14:dxf>
          </x14:cfRule>
          <xm:sqref>W21</xm:sqref>
        </x14:conditionalFormatting>
        <x14:conditionalFormatting xmlns:xm="http://schemas.microsoft.com/office/excel/2006/main">
          <x14:cfRule type="expression" priority="142" stopIfTrue="1" id="{40993573-AC81-49C5-9346-91C7C1972177}">
            <xm:f>(60 * HOUR(X21) + MINUTE(X21)) &gt;(60 * HOUR(INDEX('1.Locations'!G2:G32,R21 + 1)) +MINUTE(INDEX('1.Locations'!G2:G32,R21 + 1)))</xm:f>
            <x14:dxf>
              <fill>
                <patternFill>
                  <bgColor indexed="10"/>
                </patternFill>
              </fill>
            </x14:dxf>
          </x14:cfRule>
          <xm:sqref>X21</xm:sqref>
        </x14:conditionalFormatting>
        <x14:conditionalFormatting xmlns:xm="http://schemas.microsoft.com/office/excel/2006/main">
          <x14:cfRule type="cellIs" priority="143" stopIfTrue="1" operator="lessThan" id="{47C2DFD0-DD9D-4610-A2EF-6BFFDF993C67}">
            <xm:f>INDEX('1.Locations'!F2:F32,R22 + 1)</xm:f>
            <x14:dxf>
              <fill>
                <patternFill>
                  <bgColor indexed="52"/>
                </patternFill>
              </fill>
            </x14:dxf>
          </x14:cfRule>
          <xm:sqref>W22</xm:sqref>
        </x14:conditionalFormatting>
        <x14:conditionalFormatting xmlns:xm="http://schemas.microsoft.com/office/excel/2006/main">
          <x14:cfRule type="expression" priority="144" stopIfTrue="1" id="{0715952E-ACE0-4323-9EA6-9F40104F8A65}">
            <xm:f>(60 * HOUR(X22) + MINUTE(X22)) &gt;(60 * HOUR(INDEX('1.Locations'!G2:G32,R22 + 1)) +MINUTE(INDEX('1.Locations'!G2:G32,R22 + 1)))</xm:f>
            <x14:dxf>
              <fill>
                <patternFill>
                  <bgColor indexed="10"/>
                </patternFill>
              </fill>
            </x14:dxf>
          </x14:cfRule>
          <xm:sqref>X22</xm:sqref>
        </x14:conditionalFormatting>
        <x14:conditionalFormatting xmlns:xm="http://schemas.microsoft.com/office/excel/2006/main">
          <x14:cfRule type="cellIs" priority="145" stopIfTrue="1" operator="lessThan" id="{0BC57B7F-9C2D-45F9-BFF8-724C9D8B98EB}">
            <xm:f>INDEX('1.Locations'!F2:F32,R23 + 1)</xm:f>
            <x14:dxf>
              <fill>
                <patternFill>
                  <bgColor indexed="52"/>
                </patternFill>
              </fill>
            </x14:dxf>
          </x14:cfRule>
          <xm:sqref>W23</xm:sqref>
        </x14:conditionalFormatting>
        <x14:conditionalFormatting xmlns:xm="http://schemas.microsoft.com/office/excel/2006/main">
          <x14:cfRule type="expression" priority="146" stopIfTrue="1" id="{E31C09FC-FB1A-40B0-9148-15A866C6BD60}">
            <xm:f>(60 * HOUR(X23) + MINUTE(X23)) &gt;(60 * HOUR(INDEX('1.Locations'!G2:G32,R23 + 1)) +MINUTE(INDEX('1.Locations'!G2:G32,R23 + 1)))</xm:f>
            <x14:dxf>
              <fill>
                <patternFill>
                  <bgColor indexed="10"/>
                </patternFill>
              </fill>
            </x14:dxf>
          </x14:cfRule>
          <xm:sqref>X23</xm:sqref>
        </x14:conditionalFormatting>
        <x14:conditionalFormatting xmlns:xm="http://schemas.microsoft.com/office/excel/2006/main">
          <x14:cfRule type="cellIs" priority="147" stopIfTrue="1" operator="lessThan" id="{79AA9C10-67F0-4F2F-BFA0-464C41A3BC5E}">
            <xm:f>INDEX('1.Locations'!F2:F32,R24 + 1)</xm:f>
            <x14:dxf>
              <fill>
                <patternFill>
                  <bgColor indexed="52"/>
                </patternFill>
              </fill>
            </x14:dxf>
          </x14:cfRule>
          <xm:sqref>W24</xm:sqref>
        </x14:conditionalFormatting>
        <x14:conditionalFormatting xmlns:xm="http://schemas.microsoft.com/office/excel/2006/main">
          <x14:cfRule type="expression" priority="148" stopIfTrue="1" id="{4D4792A5-082F-4D15-892B-494BFAE53347}">
            <xm:f>(60 * HOUR(X24) + MINUTE(X24)) &gt;(60 * HOUR(INDEX('1.Locations'!G2:G32,R24 + 1)) +MINUTE(INDEX('1.Locations'!G2:G32,R24 + 1)))</xm:f>
            <x14:dxf>
              <fill>
                <patternFill>
                  <bgColor indexed="10"/>
                </patternFill>
              </fill>
            </x14:dxf>
          </x14:cfRule>
          <xm:sqref>X24</xm:sqref>
        </x14:conditionalFormatting>
        <x14:conditionalFormatting xmlns:xm="http://schemas.microsoft.com/office/excel/2006/main">
          <x14:cfRule type="cellIs" priority="149" stopIfTrue="1" operator="lessThan" id="{9A0C3E63-1DCE-4117-9F5D-AFAFE35FECDE}">
            <xm:f>INDEX('1.Locations'!F2:F32,R25 + 1)</xm:f>
            <x14:dxf>
              <fill>
                <patternFill>
                  <bgColor indexed="52"/>
                </patternFill>
              </fill>
            </x14:dxf>
          </x14:cfRule>
          <xm:sqref>W25</xm:sqref>
        </x14:conditionalFormatting>
        <x14:conditionalFormatting xmlns:xm="http://schemas.microsoft.com/office/excel/2006/main">
          <x14:cfRule type="expression" priority="150" stopIfTrue="1" id="{36F0FEC3-0922-4DA1-A365-40E04FBC5B8A}">
            <xm:f>(60 * HOUR(X25) + MINUTE(X25)) &gt;(60 * HOUR(INDEX('1.Locations'!G2:G32,R25 + 1)) +MINUTE(INDEX('1.Locations'!G2:G32,R25 + 1)))</xm:f>
            <x14:dxf>
              <fill>
                <patternFill>
                  <bgColor indexed="10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ellIs" priority="151" stopIfTrue="1" operator="lessThan" id="{F5631295-F51B-4137-A429-E346AFF85646}">
            <xm:f>INDEX('1.Locations'!F2:F32,R26 + 1)</xm:f>
            <x14:dxf>
              <fill>
                <patternFill>
                  <bgColor indexed="52"/>
                </patternFill>
              </fill>
            </x14:dxf>
          </x14:cfRule>
          <xm:sqref>W26</xm:sqref>
        </x14:conditionalFormatting>
        <x14:conditionalFormatting xmlns:xm="http://schemas.microsoft.com/office/excel/2006/main">
          <x14:cfRule type="expression" priority="152" stopIfTrue="1" id="{0E5ABFBD-01F0-4647-B04A-257D9E81B225}">
            <xm:f>(60 * HOUR(X26) + MINUTE(X26)) &gt;(60 * HOUR(INDEX('1.Locations'!G2:G32,R26 + 1)) +MINUTE(INDEX('1.Locations'!G2:G32,R26 + 1)))</xm:f>
            <x14:dxf>
              <fill>
                <patternFill>
                  <bgColor indexed="10"/>
                </patternFill>
              </fill>
            </x14:dxf>
          </x14:cfRule>
          <xm:sqref>X26</xm:sqref>
        </x14:conditionalFormatting>
        <x14:conditionalFormatting xmlns:xm="http://schemas.microsoft.com/office/excel/2006/main">
          <x14:cfRule type="cellIs" priority="153" stopIfTrue="1" operator="lessThan" id="{D2EEC34B-CCD1-4573-BFAC-EDA9CB7A6D3F}">
            <xm:f>INDEX('1.Locations'!F2:F32,R27 + 1)</xm:f>
            <x14:dxf>
              <fill>
                <patternFill>
                  <bgColor indexed="52"/>
                </patternFill>
              </fill>
            </x14:dxf>
          </x14:cfRule>
          <xm:sqref>W27</xm:sqref>
        </x14:conditionalFormatting>
        <x14:conditionalFormatting xmlns:xm="http://schemas.microsoft.com/office/excel/2006/main">
          <x14:cfRule type="expression" priority="154" stopIfTrue="1" id="{BDF938CD-E66D-427F-B903-B341F7847CA1}">
            <xm:f>(60 * HOUR(X27) + MINUTE(X27)) &gt;(60 * HOUR(INDEX('1.Locations'!G2:G32,R27 + 1)) +MINUTE(INDEX('1.Locations'!G2:G32,R27 + 1)))</xm:f>
            <x14:dxf>
              <fill>
                <patternFill>
                  <bgColor indexed="10"/>
                </patternFill>
              </fill>
            </x14:dxf>
          </x14:cfRule>
          <xm:sqref>X27</xm:sqref>
        </x14:conditionalFormatting>
        <x14:conditionalFormatting xmlns:xm="http://schemas.microsoft.com/office/excel/2006/main">
          <x14:cfRule type="cellIs" priority="155" stopIfTrue="1" operator="lessThan" id="{7EBE7B56-3BF5-4DC9-AAC9-41A6DC9FBCEC}">
            <xm:f>INDEX('1.Locations'!F2:F32,R28 + 1)</xm:f>
            <x14:dxf>
              <fill>
                <patternFill>
                  <bgColor indexed="52"/>
                </patternFill>
              </fill>
            </x14:dxf>
          </x14:cfRule>
          <xm:sqref>W28</xm:sqref>
        </x14:conditionalFormatting>
        <x14:conditionalFormatting xmlns:xm="http://schemas.microsoft.com/office/excel/2006/main">
          <x14:cfRule type="expression" priority="156" stopIfTrue="1" id="{3499BF46-DC24-43BE-A4B1-1FD3644F0A66}">
            <xm:f>(60 * HOUR(X28) + MINUTE(X28)) &gt;(60 * HOUR(INDEX('1.Locations'!G2:G32,R28 + 1)) +MINUTE(INDEX('1.Locations'!G2:G32,R28 + 1)))</xm:f>
            <x14:dxf>
              <fill>
                <patternFill>
                  <bgColor indexed="10"/>
                </patternFill>
              </fill>
            </x14:dxf>
          </x14:cfRule>
          <xm:sqref>X28</xm:sqref>
        </x14:conditionalFormatting>
        <x14:conditionalFormatting xmlns:xm="http://schemas.microsoft.com/office/excel/2006/main">
          <x14:cfRule type="cellIs" priority="157" stopIfTrue="1" operator="lessThan" id="{DD2E3DC3-6488-4B7F-B7EA-03E1C7EA0B86}">
            <xm:f>INDEX('1.Locations'!F2:F32,R29 + 1)</xm:f>
            <x14:dxf>
              <fill>
                <patternFill>
                  <bgColor indexed="52"/>
                </patternFill>
              </fill>
            </x14:dxf>
          </x14:cfRule>
          <xm:sqref>W29</xm:sqref>
        </x14:conditionalFormatting>
        <x14:conditionalFormatting xmlns:xm="http://schemas.microsoft.com/office/excel/2006/main">
          <x14:cfRule type="expression" priority="158" stopIfTrue="1" id="{2478849D-191B-4081-BB5E-BC3523F14C91}">
            <xm:f>(60 * HOUR(X29) + MINUTE(X29)) &gt;(60 * HOUR(INDEX('1.Locations'!G2:G32,R29 + 1)) +MINUTE(INDEX('1.Locations'!G2:G32,R29 + 1)))</xm:f>
            <x14:dxf>
              <fill>
                <patternFill>
                  <bgColor indexed="10"/>
                </patternFill>
              </fill>
            </x14:dxf>
          </x14:cfRule>
          <xm:sqref>X29</xm:sqref>
        </x14:conditionalFormatting>
        <x14:conditionalFormatting xmlns:xm="http://schemas.microsoft.com/office/excel/2006/main">
          <x14:cfRule type="cellIs" priority="159" stopIfTrue="1" operator="lessThan" id="{B7A55A7A-EABE-4791-9DC4-432648912401}">
            <xm:f>INDEX('1.Locations'!F2:F32,R30 + 1)</xm:f>
            <x14:dxf>
              <fill>
                <patternFill>
                  <bgColor indexed="52"/>
                </patternFill>
              </fill>
            </x14:dxf>
          </x14:cfRule>
          <xm:sqref>W30</xm:sqref>
        </x14:conditionalFormatting>
        <x14:conditionalFormatting xmlns:xm="http://schemas.microsoft.com/office/excel/2006/main">
          <x14:cfRule type="expression" priority="160" stopIfTrue="1" id="{9263B368-ABF7-42A1-A2E2-F5705FBD0EF4}">
            <xm:f>(60 * HOUR(X30) + MINUTE(X30)) &gt;(60 * HOUR(INDEX('1.Locations'!G2:G32,R30 + 1)) +MINUTE(INDEX('1.Locations'!G2:G32,R30 + 1)))</xm:f>
            <x14:dxf>
              <fill>
                <patternFill>
                  <bgColor indexed="10"/>
                </patternFill>
              </fill>
            </x14:dxf>
          </x14:cfRule>
          <xm:sqref>X30</xm:sqref>
        </x14:conditionalFormatting>
        <x14:conditionalFormatting xmlns:xm="http://schemas.microsoft.com/office/excel/2006/main">
          <x14:cfRule type="cellIs" priority="161" stopIfTrue="1" operator="lessThan" id="{E14A342C-5E2A-43DC-97B8-851A6693DBC7}">
            <xm:f>INDEX('1.Locations'!F2:F32,R31 + 1)</xm:f>
            <x14:dxf>
              <fill>
                <patternFill>
                  <bgColor indexed="52"/>
                </patternFill>
              </fill>
            </x14:dxf>
          </x14:cfRule>
          <xm:sqref>W31</xm:sqref>
        </x14:conditionalFormatting>
        <x14:conditionalFormatting xmlns:xm="http://schemas.microsoft.com/office/excel/2006/main">
          <x14:cfRule type="expression" priority="162" stopIfTrue="1" id="{1971D2EB-85F7-4404-8360-4EA5F702916A}">
            <xm:f>(60 * HOUR(X31) + MINUTE(X31)) &gt;(60 * HOUR(INDEX('1.Locations'!G2:G32,R31 + 1)) +MINUTE(INDEX('1.Locations'!G2:G32,R31 + 1)))</xm:f>
            <x14:dxf>
              <fill>
                <patternFill>
                  <bgColor indexed="10"/>
                </patternFill>
              </fill>
            </x14:dxf>
          </x14:cfRule>
          <xm:sqref>X31</xm:sqref>
        </x14:conditionalFormatting>
        <x14:conditionalFormatting xmlns:xm="http://schemas.microsoft.com/office/excel/2006/main">
          <x14:cfRule type="cellIs" priority="163" stopIfTrue="1" operator="lessThan" id="{B069D466-9A3A-459C-A111-6C59522BF32F}">
            <xm:f>INDEX('1.Locations'!F2:F32,R32 + 1)</xm:f>
            <x14:dxf>
              <fill>
                <patternFill>
                  <bgColor indexed="52"/>
                </patternFill>
              </fill>
            </x14:dxf>
          </x14:cfRule>
          <xm:sqref>W32</xm:sqref>
        </x14:conditionalFormatting>
        <x14:conditionalFormatting xmlns:xm="http://schemas.microsoft.com/office/excel/2006/main">
          <x14:cfRule type="expression" priority="164" stopIfTrue="1" id="{6BB17AB6-1D95-4345-B334-1E18758C4148}">
            <xm:f>(60 * HOUR(X32) + MINUTE(X32)) &gt;(60 * HOUR(INDEX('1.Locations'!G2:G32,R32 + 1)) +MINUTE(INDEX('1.Locations'!G2:G32,R32 + 1)))</xm:f>
            <x14:dxf>
              <fill>
                <patternFill>
                  <bgColor indexed="10"/>
                </patternFill>
              </fill>
            </x14:dxf>
          </x14:cfRule>
          <xm:sqref>X32</xm:sqref>
        </x14:conditionalFormatting>
        <x14:conditionalFormatting xmlns:xm="http://schemas.microsoft.com/office/excel/2006/main">
          <x14:cfRule type="cellIs" priority="165" stopIfTrue="1" operator="lessThan" id="{26C3A069-67D0-4D4C-AC73-ED0025567C83}">
            <xm:f>INDEX('1.Locations'!F2:F32,R33 + 1)</xm:f>
            <x14:dxf>
              <fill>
                <patternFill>
                  <bgColor indexed="52"/>
                </patternFill>
              </fill>
            </x14:dxf>
          </x14:cfRule>
          <xm:sqref>W33</xm:sqref>
        </x14:conditionalFormatting>
        <x14:conditionalFormatting xmlns:xm="http://schemas.microsoft.com/office/excel/2006/main">
          <x14:cfRule type="expression" priority="166" stopIfTrue="1" id="{4AC20D04-03D9-435C-949E-1BF95BFC9E11}">
            <xm:f>(60 * HOUR(X33) + MINUTE(X33)) &gt;(60 * HOUR(INDEX('1.Locations'!G2:G32,R33 + 1)) +MINUTE(INDEX('1.Locations'!G2:G32,R33 + 1)))</xm:f>
            <x14:dxf>
              <fill>
                <patternFill>
                  <bgColor indexed="10"/>
                </patternFill>
              </fill>
            </x14:dxf>
          </x14:cfRule>
          <xm:sqref>X33</xm:sqref>
        </x14:conditionalFormatting>
        <x14:conditionalFormatting xmlns:xm="http://schemas.microsoft.com/office/excel/2006/main">
          <x14:cfRule type="cellIs" priority="167" stopIfTrue="1" operator="lessThan" id="{68EC04A0-E5A0-47D9-B4EF-795373C36A68}">
            <xm:f>INDEX('1.Locations'!F2:F32,R34 + 1)</xm:f>
            <x14:dxf>
              <fill>
                <patternFill>
                  <bgColor indexed="52"/>
                </patternFill>
              </fill>
            </x14:dxf>
          </x14:cfRule>
          <xm:sqref>W34</xm:sqref>
        </x14:conditionalFormatting>
        <x14:conditionalFormatting xmlns:xm="http://schemas.microsoft.com/office/excel/2006/main">
          <x14:cfRule type="expression" priority="168" stopIfTrue="1" id="{0FA65584-E1DC-474A-A170-B1BD23EC13B2}">
            <xm:f>(60 * HOUR(X34) + MINUTE(X34)) &gt;(60 * HOUR(INDEX('1.Locations'!G2:G32,R34 + 1)) +MINUTE(INDEX('1.Locations'!G2:G32,R34 + 1)))</xm:f>
            <x14:dxf>
              <fill>
                <patternFill>
                  <bgColor indexed="10"/>
                </patternFill>
              </fill>
            </x14:dxf>
          </x14:cfRule>
          <xm:sqref>X34</xm:sqref>
        </x14:conditionalFormatting>
        <x14:conditionalFormatting xmlns:xm="http://schemas.microsoft.com/office/excel/2006/main">
          <x14:cfRule type="cellIs" priority="169" stopIfTrue="1" operator="lessThan" id="{FC9E2146-0353-4ADD-A639-ADA8C104BC24}">
            <xm:f>INDEX('1.Locations'!F2:F32,R35 + 1)</xm:f>
            <x14:dxf>
              <fill>
                <patternFill>
                  <bgColor indexed="52"/>
                </patternFill>
              </fill>
            </x14:dxf>
          </x14:cfRule>
          <xm:sqref>W35</xm:sqref>
        </x14:conditionalFormatting>
        <x14:conditionalFormatting xmlns:xm="http://schemas.microsoft.com/office/excel/2006/main">
          <x14:cfRule type="expression" priority="170" stopIfTrue="1" id="{BD26EC73-FD38-4084-9CEA-62131BFDAB50}">
            <xm:f>(60 * HOUR(X35) + MINUTE(X35)) &gt;(60 * HOUR(INDEX('1.Locations'!G2:G32,R35 + 1)) +MINUTE(INDEX('1.Locations'!G2:G32,R35 + 1)))</xm:f>
            <x14:dxf>
              <fill>
                <patternFill>
                  <bgColor indexed="10"/>
                </patternFill>
              </fill>
            </x14:dxf>
          </x14:cfRule>
          <xm:sqref>X35</xm:sqref>
        </x14:conditionalFormatting>
        <x14:conditionalFormatting xmlns:xm="http://schemas.microsoft.com/office/excel/2006/main">
          <x14:cfRule type="cellIs" priority="171" stopIfTrue="1" operator="lessThan" id="{13073D8B-EA0B-4BD3-B886-902381589BF3}">
            <xm:f>INDEX('1.Locations'!F2:F32,R36 + 1)</xm:f>
            <x14:dxf>
              <fill>
                <patternFill>
                  <bgColor indexed="52"/>
                </patternFill>
              </fill>
            </x14:dxf>
          </x14:cfRule>
          <xm:sqref>W36</xm:sqref>
        </x14:conditionalFormatting>
        <x14:conditionalFormatting xmlns:xm="http://schemas.microsoft.com/office/excel/2006/main">
          <x14:cfRule type="expression" priority="172" stopIfTrue="1" id="{A7C09F2D-2982-4FDB-9742-80D5E2E3642E}">
            <xm:f>(60 * HOUR(X36) + MINUTE(X36)) &gt;(60 * HOUR(INDEX('1.Locations'!G2:G32,R36 + 1)) +MINUTE(INDEX('1.Locations'!G2:G32,R36 + 1)))</xm:f>
            <x14:dxf>
              <fill>
                <patternFill>
                  <bgColor indexed="10"/>
                </patternFill>
              </fill>
            </x14:dxf>
          </x14:cfRule>
          <xm:sqref>X36</xm:sqref>
        </x14:conditionalFormatting>
        <x14:conditionalFormatting xmlns:xm="http://schemas.microsoft.com/office/excel/2006/main">
          <x14:cfRule type="cellIs" priority="173" stopIfTrue="1" operator="greaterThan" id="{017052C2-F979-4695-9DF4-244157C1A14E}">
            <xm:f>'3.Vehicles'!$F$2</xm:f>
            <x14:dxf>
              <fill>
                <patternFill>
                  <bgColor indexed="10"/>
                </patternFill>
              </fill>
            </x14:dxf>
          </x14:cfRule>
          <xm:sqref>U6:U36</xm:sqref>
        </x14:conditionalFormatting>
        <x14:conditionalFormatting xmlns:xm="http://schemas.microsoft.com/office/excel/2006/main">
          <x14:cfRule type="cellIs" priority="174" stopIfTrue="1" operator="greaterThan" id="{8D47D7DB-06F7-4E87-8BAC-9681B4AD0A9C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AC5:AC36</xm:sqref>
        </x14:conditionalFormatting>
        <x14:conditionalFormatting xmlns:xm="http://schemas.microsoft.com/office/excel/2006/main">
          <x14:cfRule type="cellIs" priority="176" stopIfTrue="1" operator="greaterThan" id="{7B78A897-E951-45EF-A1B5-5455D72AF674}">
            <xm:f>'3.Vehicles'!$H$2</xm:f>
            <x14:dxf>
              <fill>
                <patternFill>
                  <bgColor indexed="10"/>
                </patternFill>
              </fill>
            </x14:dxf>
          </x14:cfRule>
          <xm:sqref>V6:V36</xm:sqref>
        </x14:conditionalFormatting>
        <x14:conditionalFormatting xmlns:xm="http://schemas.microsoft.com/office/excel/2006/main">
          <x14:cfRule type="cellIs" priority="177" stopIfTrue="1" operator="greaterThan" id="{48CFCC51-5541-4683-BE54-7966FB508A22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Y6:Y36</xm:sqref>
        </x14:conditionalFormatting>
        <x14:conditionalFormatting xmlns:xm="http://schemas.microsoft.com/office/excel/2006/main">
          <x14:cfRule type="expression" priority="179" stopIfTrue="1" id="{1E151946-2A83-4D38-BC8C-E80186CA79F4}">
            <xm:f>(60 * HOUR(AM5) + MINUTE(AM5)) &gt;(60 * HOUR(INDEX('1.Locations'!G2:G32,AG5 + 1)) +MINUTE(INDEX('1.Locations'!G2:G32,AG5 + 1)))</xm:f>
            <x14:dxf>
              <fill>
                <patternFill>
                  <bgColor indexed="10"/>
                </patternFill>
              </fill>
            </x14:dxf>
          </x14:cfRule>
          <xm:sqref>AM5</xm:sqref>
        </x14:conditionalFormatting>
        <x14:conditionalFormatting xmlns:xm="http://schemas.microsoft.com/office/excel/2006/main">
          <x14:cfRule type="cellIs" priority="180" stopIfTrue="1" operator="lessThan" id="{7A2DDD00-4C95-40F5-897E-1CBC089CBDDC}">
            <xm:f>INDEX('1.Locations'!F2:F32,AG6 + 1)</xm:f>
            <x14:dxf>
              <fill>
                <patternFill>
                  <bgColor indexed="52"/>
                </patternFill>
              </fill>
            </x14:dxf>
          </x14:cfRule>
          <xm:sqref>AL6</xm:sqref>
        </x14:conditionalFormatting>
        <x14:conditionalFormatting xmlns:xm="http://schemas.microsoft.com/office/excel/2006/main">
          <x14:cfRule type="expression" priority="181" stopIfTrue="1" id="{AF4725A8-D342-4425-9E3B-B0E939AB74C3}">
            <xm:f>(60 * HOUR(AM6) + MINUTE(AM6)) &gt;(60 * HOUR(INDEX('1.Locations'!G2:G32,AG6 + 1)) +MINUTE(INDEX('1.Locations'!G2:G32,AG6 + 1)))</xm:f>
            <x14:dxf>
              <fill>
                <patternFill>
                  <bgColor indexed="10"/>
                </patternFill>
              </fill>
            </x14:dxf>
          </x14:cfRule>
          <xm:sqref>AM6</xm:sqref>
        </x14:conditionalFormatting>
        <x14:conditionalFormatting xmlns:xm="http://schemas.microsoft.com/office/excel/2006/main">
          <x14:cfRule type="cellIs" priority="182" stopIfTrue="1" operator="lessThan" id="{DAFDE0EB-B33E-4B2C-9F79-D0B6BE0A2280}">
            <xm:f>INDEX('1.Locations'!F2:F32,AG7 + 1)</xm:f>
            <x14:dxf>
              <fill>
                <patternFill>
                  <bgColor indexed="52"/>
                </patternFill>
              </fill>
            </x14:dxf>
          </x14:cfRule>
          <xm:sqref>AL7</xm:sqref>
        </x14:conditionalFormatting>
        <x14:conditionalFormatting xmlns:xm="http://schemas.microsoft.com/office/excel/2006/main">
          <x14:cfRule type="expression" priority="183" stopIfTrue="1" id="{DC9B046A-C12C-41AE-8C7B-8F696A144AB3}">
            <xm:f>(60 * HOUR(AM7) + MINUTE(AM7)) &gt;(60 * HOUR(INDEX('1.Locations'!G2:G32,AG7 + 1)) +MINUTE(INDEX('1.Locations'!G2:G32,AG7 + 1)))</xm:f>
            <x14:dxf>
              <fill>
                <patternFill>
                  <bgColor indexed="10"/>
                </patternFill>
              </fill>
            </x14:dxf>
          </x14:cfRule>
          <xm:sqref>AM7</xm:sqref>
        </x14:conditionalFormatting>
        <x14:conditionalFormatting xmlns:xm="http://schemas.microsoft.com/office/excel/2006/main">
          <x14:cfRule type="cellIs" priority="184" stopIfTrue="1" operator="lessThan" id="{EB0AA5CB-906A-474C-AFB8-B5B968ABF88A}">
            <xm:f>INDEX('1.Locations'!F2:F32,AG8 + 1)</xm:f>
            <x14:dxf>
              <fill>
                <patternFill>
                  <bgColor indexed="52"/>
                </patternFill>
              </fill>
            </x14:dxf>
          </x14:cfRule>
          <xm:sqref>AL8</xm:sqref>
        </x14:conditionalFormatting>
        <x14:conditionalFormatting xmlns:xm="http://schemas.microsoft.com/office/excel/2006/main">
          <x14:cfRule type="expression" priority="185" stopIfTrue="1" id="{D2D5A9CB-CCB8-4CB2-A2F7-168D17133393}">
            <xm:f>(60 * HOUR(AM8) + MINUTE(AM8)) &gt;(60 * HOUR(INDEX('1.Locations'!G2:G32,AG8 + 1)) +MINUTE(INDEX('1.Locations'!G2:G32,AG8 + 1)))</xm:f>
            <x14:dxf>
              <fill>
                <patternFill>
                  <bgColor indexed="10"/>
                </patternFill>
              </fill>
            </x14:dxf>
          </x14:cfRule>
          <xm:sqref>AM8</xm:sqref>
        </x14:conditionalFormatting>
        <x14:conditionalFormatting xmlns:xm="http://schemas.microsoft.com/office/excel/2006/main">
          <x14:cfRule type="cellIs" priority="186" stopIfTrue="1" operator="lessThan" id="{CEB86E16-5FDC-4E3D-AB2A-23A7D2DA1E3A}">
            <xm:f>INDEX('1.Locations'!F2:F32,AG9 + 1)</xm:f>
            <x14:dxf>
              <fill>
                <patternFill>
                  <bgColor indexed="52"/>
                </patternFill>
              </fill>
            </x14:dxf>
          </x14:cfRule>
          <xm:sqref>AL9</xm:sqref>
        </x14:conditionalFormatting>
        <x14:conditionalFormatting xmlns:xm="http://schemas.microsoft.com/office/excel/2006/main">
          <x14:cfRule type="expression" priority="187" stopIfTrue="1" id="{108599B5-7820-4394-AF19-230D85A0E648}">
            <xm:f>(60 * HOUR(AM9) + MINUTE(AM9)) &gt;(60 * HOUR(INDEX('1.Locations'!G2:G32,AG9 + 1)) +MINUTE(INDEX('1.Locations'!G2:G32,AG9 + 1)))</xm:f>
            <x14:dxf>
              <fill>
                <patternFill>
                  <bgColor indexed="10"/>
                </patternFill>
              </fill>
            </x14:dxf>
          </x14:cfRule>
          <xm:sqref>AM9</xm:sqref>
        </x14:conditionalFormatting>
        <x14:conditionalFormatting xmlns:xm="http://schemas.microsoft.com/office/excel/2006/main">
          <x14:cfRule type="cellIs" priority="188" stopIfTrue="1" operator="lessThan" id="{83470E19-3E4D-442C-83CC-1BB7973DF1BC}">
            <xm:f>INDEX('1.Locations'!F2:F32,AG10 + 1)</xm:f>
            <x14:dxf>
              <fill>
                <patternFill>
                  <bgColor indexed="52"/>
                </patternFill>
              </fill>
            </x14:dxf>
          </x14:cfRule>
          <xm:sqref>AL10</xm:sqref>
        </x14:conditionalFormatting>
        <x14:conditionalFormatting xmlns:xm="http://schemas.microsoft.com/office/excel/2006/main">
          <x14:cfRule type="expression" priority="189" stopIfTrue="1" id="{3F225907-D5D0-4830-8859-4D04429C2F03}">
            <xm:f>(60 * HOUR(AM10) + MINUTE(AM10)) &gt;(60 * HOUR(INDEX('1.Locations'!G2:G32,AG10 + 1)) +MINUTE(INDEX('1.Locations'!G2:G32,AG10 + 1)))</xm:f>
            <x14:dxf>
              <fill>
                <patternFill>
                  <bgColor indexed="10"/>
                </patternFill>
              </fill>
            </x14:dxf>
          </x14:cfRule>
          <xm:sqref>AM10</xm:sqref>
        </x14:conditionalFormatting>
        <x14:conditionalFormatting xmlns:xm="http://schemas.microsoft.com/office/excel/2006/main">
          <x14:cfRule type="cellIs" priority="190" stopIfTrue="1" operator="lessThan" id="{A90454BA-18E4-4793-A3E5-A69BD4E51FF4}">
            <xm:f>INDEX('1.Locations'!F2:F32,AG11 + 1)</xm:f>
            <x14:dxf>
              <fill>
                <patternFill>
                  <bgColor indexed="52"/>
                </patternFill>
              </fill>
            </x14:dxf>
          </x14:cfRule>
          <xm:sqref>AL11</xm:sqref>
        </x14:conditionalFormatting>
        <x14:conditionalFormatting xmlns:xm="http://schemas.microsoft.com/office/excel/2006/main">
          <x14:cfRule type="expression" priority="191" stopIfTrue="1" id="{CA86F3FF-C331-4BC6-BDFB-8468CF80513A}">
            <xm:f>(60 * HOUR(AM11) + MINUTE(AM11)) &gt;(60 * HOUR(INDEX('1.Locations'!G2:G32,AG11 + 1)) +MINUTE(INDEX('1.Locations'!G2:G32,AG11 + 1)))</xm:f>
            <x14:dxf>
              <fill>
                <patternFill>
                  <bgColor indexed="10"/>
                </patternFill>
              </fill>
            </x14:dxf>
          </x14:cfRule>
          <xm:sqref>AM11</xm:sqref>
        </x14:conditionalFormatting>
        <x14:conditionalFormatting xmlns:xm="http://schemas.microsoft.com/office/excel/2006/main">
          <x14:cfRule type="cellIs" priority="192" stopIfTrue="1" operator="lessThan" id="{985F15BD-F076-4EAD-983F-F9CBE1A3A12C}">
            <xm:f>INDEX('1.Locations'!F2:F32,AG12 + 1)</xm:f>
            <x14:dxf>
              <fill>
                <patternFill>
                  <bgColor indexed="52"/>
                </patternFill>
              </fill>
            </x14:dxf>
          </x14:cfRule>
          <xm:sqref>AL12</xm:sqref>
        </x14:conditionalFormatting>
        <x14:conditionalFormatting xmlns:xm="http://schemas.microsoft.com/office/excel/2006/main">
          <x14:cfRule type="expression" priority="193" stopIfTrue="1" id="{CE3678D0-72CB-433E-A7EE-5D1C907609DC}">
            <xm:f>(60 * HOUR(AM12) + MINUTE(AM12)) &gt;(60 * HOUR(INDEX('1.Locations'!G2:G32,AG12 + 1)) +MINUTE(INDEX('1.Locations'!G2:G32,AG12 + 1)))</xm:f>
            <x14:dxf>
              <fill>
                <patternFill>
                  <bgColor indexed="10"/>
                </patternFill>
              </fill>
            </x14:dxf>
          </x14:cfRule>
          <xm:sqref>AM12</xm:sqref>
        </x14:conditionalFormatting>
        <x14:conditionalFormatting xmlns:xm="http://schemas.microsoft.com/office/excel/2006/main">
          <x14:cfRule type="cellIs" priority="194" stopIfTrue="1" operator="lessThan" id="{9770FFC1-3039-412A-AFEA-831923ECD4CC}">
            <xm:f>INDEX('1.Locations'!F2:F32,AG13 + 1)</xm:f>
            <x14:dxf>
              <fill>
                <patternFill>
                  <bgColor indexed="52"/>
                </patternFill>
              </fill>
            </x14:dxf>
          </x14:cfRule>
          <xm:sqref>AL13</xm:sqref>
        </x14:conditionalFormatting>
        <x14:conditionalFormatting xmlns:xm="http://schemas.microsoft.com/office/excel/2006/main">
          <x14:cfRule type="expression" priority="195" stopIfTrue="1" id="{7426A0AF-E600-4B63-B43A-02470650013C}">
            <xm:f>(60 * HOUR(AM13) + MINUTE(AM13)) &gt;(60 * HOUR(INDEX('1.Locations'!G2:G32,AG13 + 1)) +MINUTE(INDEX('1.Locations'!G2:G32,AG13 + 1)))</xm:f>
            <x14:dxf>
              <fill>
                <patternFill>
                  <bgColor indexed="10"/>
                </patternFill>
              </fill>
            </x14:dxf>
          </x14:cfRule>
          <xm:sqref>AM13</xm:sqref>
        </x14:conditionalFormatting>
        <x14:conditionalFormatting xmlns:xm="http://schemas.microsoft.com/office/excel/2006/main">
          <x14:cfRule type="cellIs" priority="196" stopIfTrue="1" operator="lessThan" id="{2570F846-7E56-4882-8936-BBE96FB16B03}">
            <xm:f>INDEX('1.Locations'!F2:F32,AG14 + 1)</xm:f>
            <x14:dxf>
              <fill>
                <patternFill>
                  <bgColor indexed="52"/>
                </patternFill>
              </fill>
            </x14:dxf>
          </x14:cfRule>
          <xm:sqref>AL14</xm:sqref>
        </x14:conditionalFormatting>
        <x14:conditionalFormatting xmlns:xm="http://schemas.microsoft.com/office/excel/2006/main">
          <x14:cfRule type="expression" priority="197" stopIfTrue="1" id="{7F45A8DE-99A1-4015-83CF-C65286D2877C}">
            <xm:f>(60 * HOUR(AM14) + MINUTE(AM14)) &gt;(60 * HOUR(INDEX('1.Locations'!G2:G32,AG14 + 1)) +MINUTE(INDEX('1.Locations'!G2:G32,AG14 + 1)))</xm:f>
            <x14:dxf>
              <fill>
                <patternFill>
                  <bgColor indexed="10"/>
                </patternFill>
              </fill>
            </x14:dxf>
          </x14:cfRule>
          <xm:sqref>AM14</xm:sqref>
        </x14:conditionalFormatting>
        <x14:conditionalFormatting xmlns:xm="http://schemas.microsoft.com/office/excel/2006/main">
          <x14:cfRule type="cellIs" priority="198" stopIfTrue="1" operator="lessThan" id="{B0129F89-D1A5-4EFE-B8D9-329EFA65FD29}">
            <xm:f>INDEX('1.Locations'!F2:F32,AG15 + 1)</xm:f>
            <x14:dxf>
              <fill>
                <patternFill>
                  <bgColor indexed="52"/>
                </patternFill>
              </fill>
            </x14:dxf>
          </x14:cfRule>
          <xm:sqref>AL15</xm:sqref>
        </x14:conditionalFormatting>
        <x14:conditionalFormatting xmlns:xm="http://schemas.microsoft.com/office/excel/2006/main">
          <x14:cfRule type="expression" priority="199" stopIfTrue="1" id="{5F709FCD-4561-415C-9673-78683781A3F4}">
            <xm:f>(60 * HOUR(AM15) + MINUTE(AM15)) &gt;(60 * HOUR(INDEX('1.Locations'!G2:G32,AG15 + 1)) +MINUTE(INDEX('1.Locations'!G2:G32,AG15 + 1)))</xm:f>
            <x14:dxf>
              <fill>
                <patternFill>
                  <bgColor indexed="10"/>
                </patternFill>
              </fill>
            </x14:dxf>
          </x14:cfRule>
          <xm:sqref>AM15</xm:sqref>
        </x14:conditionalFormatting>
        <x14:conditionalFormatting xmlns:xm="http://schemas.microsoft.com/office/excel/2006/main">
          <x14:cfRule type="cellIs" priority="200" stopIfTrue="1" operator="lessThan" id="{200D5FDD-A641-42EA-8854-7E7F6537DC35}">
            <xm:f>INDEX('1.Locations'!F2:F32,AG16 + 1)</xm:f>
            <x14:dxf>
              <fill>
                <patternFill>
                  <bgColor indexed="52"/>
                </patternFill>
              </fill>
            </x14:dxf>
          </x14:cfRule>
          <xm:sqref>AL16</xm:sqref>
        </x14:conditionalFormatting>
        <x14:conditionalFormatting xmlns:xm="http://schemas.microsoft.com/office/excel/2006/main">
          <x14:cfRule type="expression" priority="201" stopIfTrue="1" id="{E34728E6-8FB9-4EB3-A958-8CD0DB01320F}">
            <xm:f>(60 * HOUR(AM16) + MINUTE(AM16)) &gt;(60 * HOUR(INDEX('1.Locations'!G2:G32,AG16 + 1)) +MINUTE(INDEX('1.Locations'!G2:G32,AG16 + 1)))</xm:f>
            <x14:dxf>
              <fill>
                <patternFill>
                  <bgColor indexed="10"/>
                </patternFill>
              </fill>
            </x14:dxf>
          </x14:cfRule>
          <xm:sqref>AM16</xm:sqref>
        </x14:conditionalFormatting>
        <x14:conditionalFormatting xmlns:xm="http://schemas.microsoft.com/office/excel/2006/main">
          <x14:cfRule type="cellIs" priority="202" stopIfTrue="1" operator="lessThan" id="{77A66CC2-352A-4C2B-BA2D-C28CBF007F8F}">
            <xm:f>INDEX('1.Locations'!F2:F32,AG17 + 1)</xm:f>
            <x14:dxf>
              <fill>
                <patternFill>
                  <bgColor indexed="52"/>
                </patternFill>
              </fill>
            </x14:dxf>
          </x14:cfRule>
          <xm:sqref>AL17</xm:sqref>
        </x14:conditionalFormatting>
        <x14:conditionalFormatting xmlns:xm="http://schemas.microsoft.com/office/excel/2006/main">
          <x14:cfRule type="expression" priority="203" stopIfTrue="1" id="{512A0524-ACF6-4540-B00A-FA78C53E9D7C}">
            <xm:f>(60 * HOUR(AM17) + MINUTE(AM17)) &gt;(60 * HOUR(INDEX('1.Locations'!G2:G32,AG17 + 1)) +MINUTE(INDEX('1.Locations'!G2:G32,AG17 + 1)))</xm:f>
            <x14:dxf>
              <fill>
                <patternFill>
                  <bgColor indexed="10"/>
                </patternFill>
              </fill>
            </x14:dxf>
          </x14:cfRule>
          <xm:sqref>AM17</xm:sqref>
        </x14:conditionalFormatting>
        <x14:conditionalFormatting xmlns:xm="http://schemas.microsoft.com/office/excel/2006/main">
          <x14:cfRule type="cellIs" priority="204" stopIfTrue="1" operator="lessThan" id="{57318261-F758-4DEB-8857-31965A1D9D48}">
            <xm:f>INDEX('1.Locations'!F2:F32,AG18 + 1)</xm:f>
            <x14:dxf>
              <fill>
                <patternFill>
                  <bgColor indexed="52"/>
                </patternFill>
              </fill>
            </x14:dxf>
          </x14:cfRule>
          <xm:sqref>AL18</xm:sqref>
        </x14:conditionalFormatting>
        <x14:conditionalFormatting xmlns:xm="http://schemas.microsoft.com/office/excel/2006/main">
          <x14:cfRule type="expression" priority="205" stopIfTrue="1" id="{0F71A3EB-B42F-472A-BC59-0FEDFA5F650A}">
            <xm:f>(60 * HOUR(AM18) + MINUTE(AM18)) &gt;(60 * HOUR(INDEX('1.Locations'!G2:G32,AG18 + 1)) +MINUTE(INDEX('1.Locations'!G2:G32,AG18 + 1)))</xm:f>
            <x14:dxf>
              <fill>
                <patternFill>
                  <bgColor indexed="10"/>
                </patternFill>
              </fill>
            </x14:dxf>
          </x14:cfRule>
          <xm:sqref>AM18</xm:sqref>
        </x14:conditionalFormatting>
        <x14:conditionalFormatting xmlns:xm="http://schemas.microsoft.com/office/excel/2006/main">
          <x14:cfRule type="cellIs" priority="206" stopIfTrue="1" operator="lessThan" id="{458BCF96-9D85-41F8-B190-31F5753BC798}">
            <xm:f>INDEX('1.Locations'!F2:F32,AG19 + 1)</xm:f>
            <x14:dxf>
              <fill>
                <patternFill>
                  <bgColor indexed="52"/>
                </patternFill>
              </fill>
            </x14:dxf>
          </x14:cfRule>
          <xm:sqref>AL19</xm:sqref>
        </x14:conditionalFormatting>
        <x14:conditionalFormatting xmlns:xm="http://schemas.microsoft.com/office/excel/2006/main">
          <x14:cfRule type="expression" priority="207" stopIfTrue="1" id="{5E4E3E81-6878-4F63-B2C9-539E5BE699B1}">
            <xm:f>(60 * HOUR(AM19) + MINUTE(AM19)) &gt;(60 * HOUR(INDEX('1.Locations'!G2:G32,AG19 + 1)) +MINUTE(INDEX('1.Locations'!G2:G32,AG19 + 1)))</xm:f>
            <x14:dxf>
              <fill>
                <patternFill>
                  <bgColor indexed="10"/>
                </patternFill>
              </fill>
            </x14:dxf>
          </x14:cfRule>
          <xm:sqref>AM19</xm:sqref>
        </x14:conditionalFormatting>
        <x14:conditionalFormatting xmlns:xm="http://schemas.microsoft.com/office/excel/2006/main">
          <x14:cfRule type="cellIs" priority="208" stopIfTrue="1" operator="lessThan" id="{D4A32E38-276A-4263-BD24-0ABF88B902C7}">
            <xm:f>INDEX('1.Locations'!F2:F32,AG20 + 1)</xm:f>
            <x14:dxf>
              <fill>
                <patternFill>
                  <bgColor indexed="52"/>
                </patternFill>
              </fill>
            </x14:dxf>
          </x14:cfRule>
          <xm:sqref>AL20</xm:sqref>
        </x14:conditionalFormatting>
        <x14:conditionalFormatting xmlns:xm="http://schemas.microsoft.com/office/excel/2006/main">
          <x14:cfRule type="expression" priority="209" stopIfTrue="1" id="{B9C73DD2-8644-40F2-81E5-869CB846783A}">
            <xm:f>(60 * HOUR(AM20) + MINUTE(AM20)) &gt;(60 * HOUR(INDEX('1.Locations'!G2:G32,AG20 + 1)) +MINUTE(INDEX('1.Locations'!G2:G32,AG20 + 1)))</xm:f>
            <x14:dxf>
              <fill>
                <patternFill>
                  <bgColor indexed="10"/>
                </patternFill>
              </fill>
            </x14:dxf>
          </x14:cfRule>
          <xm:sqref>AM20</xm:sqref>
        </x14:conditionalFormatting>
        <x14:conditionalFormatting xmlns:xm="http://schemas.microsoft.com/office/excel/2006/main">
          <x14:cfRule type="cellIs" priority="210" stopIfTrue="1" operator="lessThan" id="{451D998C-D5EC-477D-83BD-D29A2A92A874}">
            <xm:f>INDEX('1.Locations'!F2:F32,AG21 + 1)</xm:f>
            <x14:dxf>
              <fill>
                <patternFill>
                  <bgColor indexed="52"/>
                </patternFill>
              </fill>
            </x14:dxf>
          </x14:cfRule>
          <xm:sqref>AL21</xm:sqref>
        </x14:conditionalFormatting>
        <x14:conditionalFormatting xmlns:xm="http://schemas.microsoft.com/office/excel/2006/main">
          <x14:cfRule type="expression" priority="211" stopIfTrue="1" id="{32391821-C98A-4053-8F7D-42222A9DBAB4}">
            <xm:f>(60 * HOUR(AM21) + MINUTE(AM21)) &gt;(60 * HOUR(INDEX('1.Locations'!G2:G32,AG21 + 1)) +MINUTE(INDEX('1.Locations'!G2:G32,AG21 + 1)))</xm:f>
            <x14:dxf>
              <fill>
                <patternFill>
                  <bgColor indexed="10"/>
                </patternFill>
              </fill>
            </x14:dxf>
          </x14:cfRule>
          <xm:sqref>AM21</xm:sqref>
        </x14:conditionalFormatting>
        <x14:conditionalFormatting xmlns:xm="http://schemas.microsoft.com/office/excel/2006/main">
          <x14:cfRule type="cellIs" priority="212" stopIfTrue="1" operator="lessThan" id="{9CDBB140-062A-44FD-B1FB-CD5DF87C07BC}">
            <xm:f>INDEX('1.Locations'!F2:F32,AG22 + 1)</xm:f>
            <x14:dxf>
              <fill>
                <patternFill>
                  <bgColor indexed="52"/>
                </patternFill>
              </fill>
            </x14:dxf>
          </x14:cfRule>
          <xm:sqref>AL22</xm:sqref>
        </x14:conditionalFormatting>
        <x14:conditionalFormatting xmlns:xm="http://schemas.microsoft.com/office/excel/2006/main">
          <x14:cfRule type="expression" priority="213" stopIfTrue="1" id="{7E425757-CDDB-4217-9363-66437FBEBC8E}">
            <xm:f>(60 * HOUR(AM22) + MINUTE(AM22)) &gt;(60 * HOUR(INDEX('1.Locations'!G2:G32,AG22 + 1)) +MINUTE(INDEX('1.Locations'!G2:G32,AG22 + 1)))</xm:f>
            <x14:dxf>
              <fill>
                <patternFill>
                  <bgColor indexed="10"/>
                </patternFill>
              </fill>
            </x14:dxf>
          </x14:cfRule>
          <xm:sqref>AM22</xm:sqref>
        </x14:conditionalFormatting>
        <x14:conditionalFormatting xmlns:xm="http://schemas.microsoft.com/office/excel/2006/main">
          <x14:cfRule type="cellIs" priority="214" stopIfTrue="1" operator="lessThan" id="{C16063AF-B85A-4C30-9266-25D52466CA5B}">
            <xm:f>INDEX('1.Locations'!F2:F32,AG23 + 1)</xm:f>
            <x14:dxf>
              <fill>
                <patternFill>
                  <bgColor indexed="52"/>
                </patternFill>
              </fill>
            </x14:dxf>
          </x14:cfRule>
          <xm:sqref>AL23</xm:sqref>
        </x14:conditionalFormatting>
        <x14:conditionalFormatting xmlns:xm="http://schemas.microsoft.com/office/excel/2006/main">
          <x14:cfRule type="expression" priority="215" stopIfTrue="1" id="{F45EEF2F-1A9B-411D-A81F-F0B89378AD35}">
            <xm:f>(60 * HOUR(AM23) + MINUTE(AM23)) &gt;(60 * HOUR(INDEX('1.Locations'!G2:G32,AG23 + 1)) +MINUTE(INDEX('1.Locations'!G2:G32,AG23 + 1)))</xm:f>
            <x14:dxf>
              <fill>
                <patternFill>
                  <bgColor indexed="10"/>
                </patternFill>
              </fill>
            </x14:dxf>
          </x14:cfRule>
          <xm:sqref>AM23</xm:sqref>
        </x14:conditionalFormatting>
        <x14:conditionalFormatting xmlns:xm="http://schemas.microsoft.com/office/excel/2006/main">
          <x14:cfRule type="cellIs" priority="216" stopIfTrue="1" operator="lessThan" id="{1ABFD216-EE7A-4640-AD9E-45CEFD8CBCF3}">
            <xm:f>INDEX('1.Locations'!F2:F32,AG24 + 1)</xm:f>
            <x14:dxf>
              <fill>
                <patternFill>
                  <bgColor indexed="52"/>
                </patternFill>
              </fill>
            </x14:dxf>
          </x14:cfRule>
          <xm:sqref>AL24</xm:sqref>
        </x14:conditionalFormatting>
        <x14:conditionalFormatting xmlns:xm="http://schemas.microsoft.com/office/excel/2006/main">
          <x14:cfRule type="expression" priority="217" stopIfTrue="1" id="{813DEC95-EB23-4CA4-8678-5719361519B1}">
            <xm:f>(60 * HOUR(AM24) + MINUTE(AM24)) &gt;(60 * HOUR(INDEX('1.Locations'!G2:G32,AG24 + 1)) +MINUTE(INDEX('1.Locations'!G2:G32,AG24 + 1)))</xm:f>
            <x14:dxf>
              <fill>
                <patternFill>
                  <bgColor indexed="10"/>
                </patternFill>
              </fill>
            </x14:dxf>
          </x14:cfRule>
          <xm:sqref>AM24</xm:sqref>
        </x14:conditionalFormatting>
        <x14:conditionalFormatting xmlns:xm="http://schemas.microsoft.com/office/excel/2006/main">
          <x14:cfRule type="cellIs" priority="218" stopIfTrue="1" operator="lessThan" id="{707C5B5F-2C6D-419B-9191-ACECEB086F87}">
            <xm:f>INDEX('1.Locations'!F2:F32,AG25 + 1)</xm:f>
            <x14:dxf>
              <fill>
                <patternFill>
                  <bgColor indexed="5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expression" priority="219" stopIfTrue="1" id="{07FFBA1B-F8E5-4E0A-A620-F822BCF9D700}">
            <xm:f>(60 * HOUR(AM25) + MINUTE(AM25)) &gt;(60 * HOUR(INDEX('1.Locations'!G2:G32,AG25 + 1)) +MINUTE(INDEX('1.Locations'!G2:G32,AG25 + 1)))</xm:f>
            <x14:dxf>
              <fill>
                <patternFill>
                  <bgColor indexed="10"/>
                </patternFill>
              </fill>
            </x14:dxf>
          </x14:cfRule>
          <xm:sqref>AM25</xm:sqref>
        </x14:conditionalFormatting>
        <x14:conditionalFormatting xmlns:xm="http://schemas.microsoft.com/office/excel/2006/main">
          <x14:cfRule type="cellIs" priority="220" stopIfTrue="1" operator="lessThan" id="{C82509DB-6870-4DAF-B09F-E9A8006E787F}">
            <xm:f>INDEX('1.Locations'!F2:F32,AG26 + 1)</xm:f>
            <x14:dxf>
              <fill>
                <patternFill>
                  <bgColor indexed="52"/>
                </patternFill>
              </fill>
            </x14:dxf>
          </x14:cfRule>
          <xm:sqref>AL26</xm:sqref>
        </x14:conditionalFormatting>
        <x14:conditionalFormatting xmlns:xm="http://schemas.microsoft.com/office/excel/2006/main">
          <x14:cfRule type="expression" priority="221" stopIfTrue="1" id="{181A4FF7-D327-4290-80E7-57237A821030}">
            <xm:f>(60 * HOUR(AM26) + MINUTE(AM26)) &gt;(60 * HOUR(INDEX('1.Locations'!G2:G32,AG26 + 1)) +MINUTE(INDEX('1.Locations'!G2:G32,AG26 + 1)))</xm:f>
            <x14:dxf>
              <fill>
                <patternFill>
                  <bgColor indexed="10"/>
                </patternFill>
              </fill>
            </x14:dxf>
          </x14:cfRule>
          <xm:sqref>AM26</xm:sqref>
        </x14:conditionalFormatting>
        <x14:conditionalFormatting xmlns:xm="http://schemas.microsoft.com/office/excel/2006/main">
          <x14:cfRule type="cellIs" priority="222" stopIfTrue="1" operator="lessThan" id="{052926BB-2807-439F-AAD9-B30DB344FF5F}">
            <xm:f>INDEX('1.Locations'!F2:F32,AG27 + 1)</xm:f>
            <x14:dxf>
              <fill>
                <patternFill>
                  <bgColor indexed="52"/>
                </patternFill>
              </fill>
            </x14:dxf>
          </x14:cfRule>
          <xm:sqref>AL27</xm:sqref>
        </x14:conditionalFormatting>
        <x14:conditionalFormatting xmlns:xm="http://schemas.microsoft.com/office/excel/2006/main">
          <x14:cfRule type="expression" priority="223" stopIfTrue="1" id="{A45C4B22-7140-46CD-A2AB-D8CBDFBE2840}">
            <xm:f>(60 * HOUR(AM27) + MINUTE(AM27)) &gt;(60 * HOUR(INDEX('1.Locations'!G2:G32,AG27 + 1)) +MINUTE(INDEX('1.Locations'!G2:G32,AG27 + 1)))</xm:f>
            <x14:dxf>
              <fill>
                <patternFill>
                  <bgColor indexed="10"/>
                </patternFill>
              </fill>
            </x14:dxf>
          </x14:cfRule>
          <xm:sqref>AM27</xm:sqref>
        </x14:conditionalFormatting>
        <x14:conditionalFormatting xmlns:xm="http://schemas.microsoft.com/office/excel/2006/main">
          <x14:cfRule type="cellIs" priority="224" stopIfTrue="1" operator="lessThan" id="{2D23CFC6-C5C2-40D2-A542-0D152C11EC2C}">
            <xm:f>INDEX('1.Locations'!F2:F32,AG28 + 1)</xm:f>
            <x14:dxf>
              <fill>
                <patternFill>
                  <bgColor indexed="52"/>
                </patternFill>
              </fill>
            </x14:dxf>
          </x14:cfRule>
          <xm:sqref>AL28</xm:sqref>
        </x14:conditionalFormatting>
        <x14:conditionalFormatting xmlns:xm="http://schemas.microsoft.com/office/excel/2006/main">
          <x14:cfRule type="expression" priority="225" stopIfTrue="1" id="{D6041F81-80B8-4C63-8264-EEFC27E1819D}">
            <xm:f>(60 * HOUR(AM28) + MINUTE(AM28)) &gt;(60 * HOUR(INDEX('1.Locations'!G2:G32,AG28 + 1)) +MINUTE(INDEX('1.Locations'!G2:G32,AG28 + 1)))</xm:f>
            <x14:dxf>
              <fill>
                <patternFill>
                  <bgColor indexed="10"/>
                </patternFill>
              </fill>
            </x14:dxf>
          </x14:cfRule>
          <xm:sqref>AM28</xm:sqref>
        </x14:conditionalFormatting>
        <x14:conditionalFormatting xmlns:xm="http://schemas.microsoft.com/office/excel/2006/main">
          <x14:cfRule type="cellIs" priority="226" stopIfTrue="1" operator="lessThan" id="{A611B9B4-60B1-4664-957C-9EC1FFD7FD78}">
            <xm:f>INDEX('1.Locations'!F2:F32,AG29 + 1)</xm:f>
            <x14:dxf>
              <fill>
                <patternFill>
                  <bgColor indexed="52"/>
                </patternFill>
              </fill>
            </x14:dxf>
          </x14:cfRule>
          <xm:sqref>AL29</xm:sqref>
        </x14:conditionalFormatting>
        <x14:conditionalFormatting xmlns:xm="http://schemas.microsoft.com/office/excel/2006/main">
          <x14:cfRule type="expression" priority="227" stopIfTrue="1" id="{90DAB868-2938-4904-9129-D1D0D328830D}">
            <xm:f>(60 * HOUR(AM29) + MINUTE(AM29)) &gt;(60 * HOUR(INDEX('1.Locations'!G2:G32,AG29 + 1)) +MINUTE(INDEX('1.Locations'!G2:G32,AG29 + 1)))</xm:f>
            <x14:dxf>
              <fill>
                <patternFill>
                  <bgColor indexed="10"/>
                </patternFill>
              </fill>
            </x14:dxf>
          </x14:cfRule>
          <xm:sqref>AM29</xm:sqref>
        </x14:conditionalFormatting>
        <x14:conditionalFormatting xmlns:xm="http://schemas.microsoft.com/office/excel/2006/main">
          <x14:cfRule type="cellIs" priority="228" stopIfTrue="1" operator="lessThan" id="{0912AB9E-4819-46F4-B304-53A4D5BAC51C}">
            <xm:f>INDEX('1.Locations'!F2:F32,AG30 + 1)</xm:f>
            <x14:dxf>
              <fill>
                <patternFill>
                  <bgColor indexed="52"/>
                </patternFill>
              </fill>
            </x14:dxf>
          </x14:cfRule>
          <xm:sqref>AL30</xm:sqref>
        </x14:conditionalFormatting>
        <x14:conditionalFormatting xmlns:xm="http://schemas.microsoft.com/office/excel/2006/main">
          <x14:cfRule type="expression" priority="229" stopIfTrue="1" id="{9C2E6A91-AD32-4EFA-97EA-D9079A8D438A}">
            <xm:f>(60 * HOUR(AM30) + MINUTE(AM30)) &gt;(60 * HOUR(INDEX('1.Locations'!G2:G32,AG30 + 1)) +MINUTE(INDEX('1.Locations'!G2:G32,AG30 + 1)))</xm:f>
            <x14:dxf>
              <fill>
                <patternFill>
                  <bgColor indexed="10"/>
                </patternFill>
              </fill>
            </x14:dxf>
          </x14:cfRule>
          <xm:sqref>AM30</xm:sqref>
        </x14:conditionalFormatting>
        <x14:conditionalFormatting xmlns:xm="http://schemas.microsoft.com/office/excel/2006/main">
          <x14:cfRule type="cellIs" priority="230" stopIfTrue="1" operator="lessThan" id="{92B20126-60DE-4E28-A3A7-FEA914970514}">
            <xm:f>INDEX('1.Locations'!F2:F32,AG31 + 1)</xm:f>
            <x14:dxf>
              <fill>
                <patternFill>
                  <bgColor indexed="52"/>
                </patternFill>
              </fill>
            </x14:dxf>
          </x14:cfRule>
          <xm:sqref>AL31</xm:sqref>
        </x14:conditionalFormatting>
        <x14:conditionalFormatting xmlns:xm="http://schemas.microsoft.com/office/excel/2006/main">
          <x14:cfRule type="expression" priority="231" stopIfTrue="1" id="{9609CB85-7309-444F-AEB6-7DB02C0DD44F}">
            <xm:f>(60 * HOUR(AM31) + MINUTE(AM31)) &gt;(60 * HOUR(INDEX('1.Locations'!G2:G32,AG31 + 1)) +MINUTE(INDEX('1.Locations'!G2:G32,AG31 + 1)))</xm:f>
            <x14:dxf>
              <fill>
                <patternFill>
                  <bgColor indexed="10"/>
                </patternFill>
              </fill>
            </x14:dxf>
          </x14:cfRule>
          <xm:sqref>AM31</xm:sqref>
        </x14:conditionalFormatting>
        <x14:conditionalFormatting xmlns:xm="http://schemas.microsoft.com/office/excel/2006/main">
          <x14:cfRule type="cellIs" priority="232" stopIfTrue="1" operator="lessThan" id="{E88689AC-15D6-4D4C-842E-66462BC098B8}">
            <xm:f>INDEX('1.Locations'!F2:F32,AG32 + 1)</xm:f>
            <x14:dxf>
              <fill>
                <patternFill>
                  <bgColor indexed="52"/>
                </patternFill>
              </fill>
            </x14:dxf>
          </x14:cfRule>
          <xm:sqref>AL32</xm:sqref>
        </x14:conditionalFormatting>
        <x14:conditionalFormatting xmlns:xm="http://schemas.microsoft.com/office/excel/2006/main">
          <x14:cfRule type="expression" priority="233" stopIfTrue="1" id="{499A430E-F0FC-48FD-9A67-F19E06066659}">
            <xm:f>(60 * HOUR(AM32) + MINUTE(AM32)) &gt;(60 * HOUR(INDEX('1.Locations'!G2:G32,AG32 + 1)) +MINUTE(INDEX('1.Locations'!G2:G32,AG32 + 1)))</xm:f>
            <x14:dxf>
              <fill>
                <patternFill>
                  <bgColor indexed="10"/>
                </patternFill>
              </fill>
            </x14:dxf>
          </x14:cfRule>
          <xm:sqref>AM32</xm:sqref>
        </x14:conditionalFormatting>
        <x14:conditionalFormatting xmlns:xm="http://schemas.microsoft.com/office/excel/2006/main">
          <x14:cfRule type="cellIs" priority="234" stopIfTrue="1" operator="lessThan" id="{534EADA3-BA3D-4776-A79D-74EE1EEB4264}">
            <xm:f>INDEX('1.Locations'!F2:F32,AG33 + 1)</xm:f>
            <x14:dxf>
              <fill>
                <patternFill>
                  <bgColor indexed="52"/>
                </patternFill>
              </fill>
            </x14:dxf>
          </x14:cfRule>
          <xm:sqref>AL33</xm:sqref>
        </x14:conditionalFormatting>
        <x14:conditionalFormatting xmlns:xm="http://schemas.microsoft.com/office/excel/2006/main">
          <x14:cfRule type="expression" priority="235" stopIfTrue="1" id="{0A0A9A39-3CE9-4FF5-8DDD-00AEA2EFA363}">
            <xm:f>(60 * HOUR(AM33) + MINUTE(AM33)) &gt;(60 * HOUR(INDEX('1.Locations'!G2:G32,AG33 + 1)) +MINUTE(INDEX('1.Locations'!G2:G32,AG33 + 1)))</xm:f>
            <x14:dxf>
              <fill>
                <patternFill>
                  <bgColor indexed="10"/>
                </patternFill>
              </fill>
            </x14:dxf>
          </x14:cfRule>
          <xm:sqref>AM33</xm:sqref>
        </x14:conditionalFormatting>
        <x14:conditionalFormatting xmlns:xm="http://schemas.microsoft.com/office/excel/2006/main">
          <x14:cfRule type="cellIs" priority="236" stopIfTrue="1" operator="lessThan" id="{3D9C77E3-FFE1-449C-992E-B55EE944E9E7}">
            <xm:f>INDEX('1.Locations'!F2:F32,AG34 + 1)</xm:f>
            <x14:dxf>
              <fill>
                <patternFill>
                  <bgColor indexed="52"/>
                </patternFill>
              </fill>
            </x14:dxf>
          </x14:cfRule>
          <xm:sqref>AL34</xm:sqref>
        </x14:conditionalFormatting>
        <x14:conditionalFormatting xmlns:xm="http://schemas.microsoft.com/office/excel/2006/main">
          <x14:cfRule type="expression" priority="237" stopIfTrue="1" id="{39E15B5F-1213-4AD6-9A29-B1BD1DAF2482}">
            <xm:f>(60 * HOUR(AM34) + MINUTE(AM34)) &gt;(60 * HOUR(INDEX('1.Locations'!G2:G32,AG34 + 1)) +MINUTE(INDEX('1.Locations'!G2:G32,AG34 + 1)))</xm:f>
            <x14:dxf>
              <fill>
                <patternFill>
                  <bgColor indexed="10"/>
                </patternFill>
              </fill>
            </x14:dxf>
          </x14:cfRule>
          <xm:sqref>AM34</xm:sqref>
        </x14:conditionalFormatting>
        <x14:conditionalFormatting xmlns:xm="http://schemas.microsoft.com/office/excel/2006/main">
          <x14:cfRule type="cellIs" priority="238" stopIfTrue="1" operator="lessThan" id="{0F6FBEAD-D881-4EEC-ADD7-515A22E1198C}">
            <xm:f>INDEX('1.Locations'!F2:F32,AG35 + 1)</xm:f>
            <x14:dxf>
              <fill>
                <patternFill>
                  <bgColor indexed="52"/>
                </patternFill>
              </fill>
            </x14:dxf>
          </x14:cfRule>
          <xm:sqref>AL35</xm:sqref>
        </x14:conditionalFormatting>
        <x14:conditionalFormatting xmlns:xm="http://schemas.microsoft.com/office/excel/2006/main">
          <x14:cfRule type="expression" priority="239" stopIfTrue="1" id="{39D62E1F-107C-4562-8B55-5C2AB7EB3A89}">
            <xm:f>(60 * HOUR(AM35) + MINUTE(AM35)) &gt;(60 * HOUR(INDEX('1.Locations'!G2:G32,AG35 + 1)) +MINUTE(INDEX('1.Locations'!G2:G32,AG35 + 1)))</xm:f>
            <x14:dxf>
              <fill>
                <patternFill>
                  <bgColor indexed="10"/>
                </patternFill>
              </fill>
            </x14:dxf>
          </x14:cfRule>
          <xm:sqref>AM35</xm:sqref>
        </x14:conditionalFormatting>
        <x14:conditionalFormatting xmlns:xm="http://schemas.microsoft.com/office/excel/2006/main">
          <x14:cfRule type="cellIs" priority="240" stopIfTrue="1" operator="lessThan" id="{036CBF20-6F86-4741-8B4B-15209365F850}">
            <xm:f>INDEX('1.Locations'!F2:F32,AG36 + 1)</xm:f>
            <x14:dxf>
              <fill>
                <patternFill>
                  <bgColor indexed="52"/>
                </patternFill>
              </fill>
            </x14:dxf>
          </x14:cfRule>
          <xm:sqref>AL36</xm:sqref>
        </x14:conditionalFormatting>
        <x14:conditionalFormatting xmlns:xm="http://schemas.microsoft.com/office/excel/2006/main">
          <x14:cfRule type="expression" priority="241" stopIfTrue="1" id="{82E7E95D-938E-481D-B8CC-7F57EFBD3732}">
            <xm:f>(60 * HOUR(AM36) + MINUTE(AM36)) &gt;(60 * HOUR(INDEX('1.Locations'!G2:G32,AG36 + 1)) +MINUTE(INDEX('1.Locations'!G2:G32,AG36 + 1)))</xm:f>
            <x14:dxf>
              <fill>
                <patternFill>
                  <bgColor indexed="10"/>
                </patternFill>
              </fill>
            </x14:dxf>
          </x14:cfRule>
          <xm:sqref>AM36</xm:sqref>
        </x14:conditionalFormatting>
        <x14:conditionalFormatting xmlns:xm="http://schemas.microsoft.com/office/excel/2006/main">
          <x14:cfRule type="cellIs" priority="242" stopIfTrue="1" operator="greaterThan" id="{0CD6D8F4-14D2-4B90-99D3-AD3CFC0BE41B}">
            <xm:f>'3.Vehicles'!$F$2</xm:f>
            <x14:dxf>
              <fill>
                <patternFill>
                  <bgColor indexed="10"/>
                </patternFill>
              </fill>
            </x14:dxf>
          </x14:cfRule>
          <xm:sqref>AJ6:AJ36</xm:sqref>
        </x14:conditionalFormatting>
        <x14:conditionalFormatting xmlns:xm="http://schemas.microsoft.com/office/excel/2006/main">
          <x14:cfRule type="cellIs" priority="243" stopIfTrue="1" operator="greaterThan" id="{6D0B9725-E95A-4CB7-82EA-EF9592CE1C41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AR5:AR36</xm:sqref>
        </x14:conditionalFormatting>
        <x14:conditionalFormatting xmlns:xm="http://schemas.microsoft.com/office/excel/2006/main">
          <x14:cfRule type="cellIs" priority="245" stopIfTrue="1" operator="greaterThan" id="{871BCD38-8086-423B-9F2C-7921ACC064A1}">
            <xm:f>'3.Vehicles'!$H$2</xm:f>
            <x14:dxf>
              <fill>
                <patternFill>
                  <bgColor indexed="10"/>
                </patternFill>
              </fill>
            </x14:dxf>
          </x14:cfRule>
          <xm:sqref>AK6:AK36</xm:sqref>
        </x14:conditionalFormatting>
        <x14:conditionalFormatting xmlns:xm="http://schemas.microsoft.com/office/excel/2006/main">
          <x14:cfRule type="cellIs" priority="246" stopIfTrue="1" operator="greaterThan" id="{C4EF1956-B8E2-4700-A50B-DF6B19E2CD5B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AN6:AN36</xm:sqref>
        </x14:conditionalFormatting>
        <x14:conditionalFormatting xmlns:xm="http://schemas.microsoft.com/office/excel/2006/main">
          <x14:cfRule type="expression" priority="248" stopIfTrue="1" id="{3D7C67D6-223A-4698-881A-802F5591B37B}">
            <xm:f>(60 * HOUR(BB5) + MINUTE(BB5)) &gt;(60 * HOUR(INDEX('1.Locations'!G2:G32,AV5 + 1)) +MINUTE(INDEX('1.Locations'!G2:G32,AV5 + 1)))</xm:f>
            <x14:dxf>
              <fill>
                <patternFill>
                  <bgColor indexed="10"/>
                </patternFill>
              </fill>
            </x14:dxf>
          </x14:cfRule>
          <xm:sqref>BB5</xm:sqref>
        </x14:conditionalFormatting>
        <x14:conditionalFormatting xmlns:xm="http://schemas.microsoft.com/office/excel/2006/main">
          <x14:cfRule type="cellIs" priority="249" stopIfTrue="1" operator="lessThan" id="{24DD5615-D880-4AA5-8B4A-F32D34AD2F2D}">
            <xm:f>INDEX('1.Locations'!F2:F32,AV6 + 1)</xm:f>
            <x14:dxf>
              <fill>
                <patternFill>
                  <bgColor indexed="52"/>
                </patternFill>
              </fill>
            </x14:dxf>
          </x14:cfRule>
          <xm:sqref>BA6</xm:sqref>
        </x14:conditionalFormatting>
        <x14:conditionalFormatting xmlns:xm="http://schemas.microsoft.com/office/excel/2006/main">
          <x14:cfRule type="expression" priority="250" stopIfTrue="1" id="{709379D9-BB54-4B71-80E3-40F79DAE59FA}">
            <xm:f>(60 * HOUR(BB6) + MINUTE(BB6)) &gt;(60 * HOUR(INDEX('1.Locations'!G2:G32,AV6 + 1)) +MINUTE(INDEX('1.Locations'!G2:G32,AV6 + 1)))</xm:f>
            <x14:dxf>
              <fill>
                <patternFill>
                  <bgColor indexed="10"/>
                </patternFill>
              </fill>
            </x14:dxf>
          </x14:cfRule>
          <xm:sqref>BB6</xm:sqref>
        </x14:conditionalFormatting>
        <x14:conditionalFormatting xmlns:xm="http://schemas.microsoft.com/office/excel/2006/main">
          <x14:cfRule type="cellIs" priority="251" stopIfTrue="1" operator="lessThan" id="{A2568E34-F087-4975-92FD-8401D239DA63}">
            <xm:f>INDEX('1.Locations'!F2:F32,AV7 + 1)</xm:f>
            <x14:dxf>
              <fill>
                <patternFill>
                  <bgColor indexed="52"/>
                </patternFill>
              </fill>
            </x14:dxf>
          </x14:cfRule>
          <xm:sqref>BA7</xm:sqref>
        </x14:conditionalFormatting>
        <x14:conditionalFormatting xmlns:xm="http://schemas.microsoft.com/office/excel/2006/main">
          <x14:cfRule type="expression" priority="252" stopIfTrue="1" id="{02061441-08CF-485E-A131-775E6F95308A}">
            <xm:f>(60 * HOUR(BB7) + MINUTE(BB7)) &gt;(60 * HOUR(INDEX('1.Locations'!G2:G32,AV7 + 1)) +MINUTE(INDEX('1.Locations'!G2:G32,AV7 + 1)))</xm:f>
            <x14:dxf>
              <fill>
                <patternFill>
                  <bgColor indexed="10"/>
                </patternFill>
              </fill>
            </x14:dxf>
          </x14:cfRule>
          <xm:sqref>BB7</xm:sqref>
        </x14:conditionalFormatting>
        <x14:conditionalFormatting xmlns:xm="http://schemas.microsoft.com/office/excel/2006/main">
          <x14:cfRule type="cellIs" priority="253" stopIfTrue="1" operator="lessThan" id="{89A8E010-576C-472F-803B-6A658B552A5C}">
            <xm:f>INDEX('1.Locations'!F2:F32,AV8 + 1)</xm:f>
            <x14:dxf>
              <fill>
                <patternFill>
                  <bgColor indexed="52"/>
                </patternFill>
              </fill>
            </x14:dxf>
          </x14:cfRule>
          <xm:sqref>BA8</xm:sqref>
        </x14:conditionalFormatting>
        <x14:conditionalFormatting xmlns:xm="http://schemas.microsoft.com/office/excel/2006/main">
          <x14:cfRule type="expression" priority="254" stopIfTrue="1" id="{F5D48A41-395E-4C4A-9D50-B852A6052905}">
            <xm:f>(60 * HOUR(BB8) + MINUTE(BB8)) &gt;(60 * HOUR(INDEX('1.Locations'!G2:G32,AV8 + 1)) +MINUTE(INDEX('1.Locations'!G2:G32,AV8 + 1)))</xm:f>
            <x14:dxf>
              <fill>
                <patternFill>
                  <bgColor indexed="10"/>
                </patternFill>
              </fill>
            </x14:dxf>
          </x14:cfRule>
          <xm:sqref>BB8</xm:sqref>
        </x14:conditionalFormatting>
        <x14:conditionalFormatting xmlns:xm="http://schemas.microsoft.com/office/excel/2006/main">
          <x14:cfRule type="cellIs" priority="255" stopIfTrue="1" operator="lessThan" id="{0CF1CB2A-5C3B-4877-B16B-6C3A25A8065C}">
            <xm:f>INDEX('1.Locations'!F2:F32,AV9 + 1)</xm:f>
            <x14:dxf>
              <fill>
                <patternFill>
                  <bgColor indexed="52"/>
                </patternFill>
              </fill>
            </x14:dxf>
          </x14:cfRule>
          <xm:sqref>BA9</xm:sqref>
        </x14:conditionalFormatting>
        <x14:conditionalFormatting xmlns:xm="http://schemas.microsoft.com/office/excel/2006/main">
          <x14:cfRule type="expression" priority="256" stopIfTrue="1" id="{53EC54AB-BCF3-4580-930A-F61F06CC71C3}">
            <xm:f>(60 * HOUR(BB9) + MINUTE(BB9)) &gt;(60 * HOUR(INDEX('1.Locations'!G2:G32,AV9 + 1)) +MINUTE(INDEX('1.Locations'!G2:G32,AV9 + 1)))</xm:f>
            <x14:dxf>
              <fill>
                <patternFill>
                  <bgColor indexed="10"/>
                </patternFill>
              </fill>
            </x14:dxf>
          </x14:cfRule>
          <xm:sqref>BB9</xm:sqref>
        </x14:conditionalFormatting>
        <x14:conditionalFormatting xmlns:xm="http://schemas.microsoft.com/office/excel/2006/main">
          <x14:cfRule type="cellIs" priority="257" stopIfTrue="1" operator="lessThan" id="{47C5FFBC-E5E7-40AD-B99E-B6A00EFE5596}">
            <xm:f>INDEX('1.Locations'!F2:F32,AV10 + 1)</xm:f>
            <x14:dxf>
              <fill>
                <patternFill>
                  <bgColor indexed="52"/>
                </patternFill>
              </fill>
            </x14:dxf>
          </x14:cfRule>
          <xm:sqref>BA10</xm:sqref>
        </x14:conditionalFormatting>
        <x14:conditionalFormatting xmlns:xm="http://schemas.microsoft.com/office/excel/2006/main">
          <x14:cfRule type="expression" priority="258" stopIfTrue="1" id="{7B021A83-156D-43A5-834D-FE87686E3BE2}">
            <xm:f>(60 * HOUR(BB10) + MINUTE(BB10)) &gt;(60 * HOUR(INDEX('1.Locations'!G2:G32,AV10 + 1)) +MINUTE(INDEX('1.Locations'!G2:G32,AV10 + 1)))</xm:f>
            <x14:dxf>
              <fill>
                <patternFill>
                  <bgColor indexed="10"/>
                </patternFill>
              </fill>
            </x14:dxf>
          </x14:cfRule>
          <xm:sqref>BB10</xm:sqref>
        </x14:conditionalFormatting>
        <x14:conditionalFormatting xmlns:xm="http://schemas.microsoft.com/office/excel/2006/main">
          <x14:cfRule type="cellIs" priority="259" stopIfTrue="1" operator="lessThan" id="{7BE3223F-C347-4268-85BB-7EB69A64C86C}">
            <xm:f>INDEX('1.Locations'!F2:F32,AV11 + 1)</xm:f>
            <x14:dxf>
              <fill>
                <patternFill>
                  <bgColor indexed="52"/>
                </patternFill>
              </fill>
            </x14:dxf>
          </x14:cfRule>
          <xm:sqref>BA11</xm:sqref>
        </x14:conditionalFormatting>
        <x14:conditionalFormatting xmlns:xm="http://schemas.microsoft.com/office/excel/2006/main">
          <x14:cfRule type="expression" priority="260" stopIfTrue="1" id="{BCB6DDA7-83D5-40B1-AA8B-A4CCA68C19F5}">
            <xm:f>(60 * HOUR(BB11) + MINUTE(BB11)) &gt;(60 * HOUR(INDEX('1.Locations'!G2:G32,AV11 + 1)) +MINUTE(INDEX('1.Locations'!G2:G32,AV11 + 1)))</xm:f>
            <x14:dxf>
              <fill>
                <patternFill>
                  <bgColor indexed="10"/>
                </patternFill>
              </fill>
            </x14:dxf>
          </x14:cfRule>
          <xm:sqref>BB11</xm:sqref>
        </x14:conditionalFormatting>
        <x14:conditionalFormatting xmlns:xm="http://schemas.microsoft.com/office/excel/2006/main">
          <x14:cfRule type="cellIs" priority="261" stopIfTrue="1" operator="lessThan" id="{BA1E91FE-B12E-4E1E-9A98-DA50179440DE}">
            <xm:f>INDEX('1.Locations'!F2:F32,AV12 + 1)</xm:f>
            <x14:dxf>
              <fill>
                <patternFill>
                  <bgColor indexed="52"/>
                </patternFill>
              </fill>
            </x14:dxf>
          </x14:cfRule>
          <xm:sqref>BA12</xm:sqref>
        </x14:conditionalFormatting>
        <x14:conditionalFormatting xmlns:xm="http://schemas.microsoft.com/office/excel/2006/main">
          <x14:cfRule type="expression" priority="262" stopIfTrue="1" id="{956ACAB9-8E2D-4318-BD5B-69CD65F64D4F}">
            <xm:f>(60 * HOUR(BB12) + MINUTE(BB12)) &gt;(60 * HOUR(INDEX('1.Locations'!G2:G32,AV12 + 1)) +MINUTE(INDEX('1.Locations'!G2:G32,AV12 + 1)))</xm:f>
            <x14:dxf>
              <fill>
                <patternFill>
                  <bgColor indexed="10"/>
                </patternFill>
              </fill>
            </x14:dxf>
          </x14:cfRule>
          <xm:sqref>BB12</xm:sqref>
        </x14:conditionalFormatting>
        <x14:conditionalFormatting xmlns:xm="http://schemas.microsoft.com/office/excel/2006/main">
          <x14:cfRule type="cellIs" priority="263" stopIfTrue="1" operator="lessThan" id="{E6F4340A-FB4C-4425-A4B1-616A9BF4F772}">
            <xm:f>INDEX('1.Locations'!F2:F32,AV13 + 1)</xm:f>
            <x14:dxf>
              <fill>
                <patternFill>
                  <bgColor indexed="52"/>
                </patternFill>
              </fill>
            </x14:dxf>
          </x14:cfRule>
          <xm:sqref>BA13</xm:sqref>
        </x14:conditionalFormatting>
        <x14:conditionalFormatting xmlns:xm="http://schemas.microsoft.com/office/excel/2006/main">
          <x14:cfRule type="expression" priority="264" stopIfTrue="1" id="{10B25544-BB36-4DE8-A20A-053EC7766390}">
            <xm:f>(60 * HOUR(BB13) + MINUTE(BB13)) &gt;(60 * HOUR(INDEX('1.Locations'!G2:G32,AV13 + 1)) +MINUTE(INDEX('1.Locations'!G2:G32,AV13 + 1)))</xm:f>
            <x14:dxf>
              <fill>
                <patternFill>
                  <bgColor indexed="10"/>
                </patternFill>
              </fill>
            </x14:dxf>
          </x14:cfRule>
          <xm:sqref>BB13</xm:sqref>
        </x14:conditionalFormatting>
        <x14:conditionalFormatting xmlns:xm="http://schemas.microsoft.com/office/excel/2006/main">
          <x14:cfRule type="cellIs" priority="265" stopIfTrue="1" operator="lessThan" id="{62E12038-8E30-4844-9188-E06A216989CC}">
            <xm:f>INDEX('1.Locations'!F2:F32,AV14 + 1)</xm:f>
            <x14:dxf>
              <fill>
                <patternFill>
                  <bgColor indexed="52"/>
                </patternFill>
              </fill>
            </x14:dxf>
          </x14:cfRule>
          <xm:sqref>BA14</xm:sqref>
        </x14:conditionalFormatting>
        <x14:conditionalFormatting xmlns:xm="http://schemas.microsoft.com/office/excel/2006/main">
          <x14:cfRule type="expression" priority="266" stopIfTrue="1" id="{3B680BFF-76C9-4B03-9C04-D60E0E1EE97F}">
            <xm:f>(60 * HOUR(BB14) + MINUTE(BB14)) &gt;(60 * HOUR(INDEX('1.Locations'!G2:G32,AV14 + 1)) +MINUTE(INDEX('1.Locations'!G2:G32,AV14 + 1)))</xm:f>
            <x14:dxf>
              <fill>
                <patternFill>
                  <bgColor indexed="10"/>
                </patternFill>
              </fill>
            </x14:dxf>
          </x14:cfRule>
          <xm:sqref>BB14</xm:sqref>
        </x14:conditionalFormatting>
        <x14:conditionalFormatting xmlns:xm="http://schemas.microsoft.com/office/excel/2006/main">
          <x14:cfRule type="cellIs" priority="267" stopIfTrue="1" operator="lessThan" id="{5F7C1C85-158D-4D59-A41D-F766D195877E}">
            <xm:f>INDEX('1.Locations'!F2:F32,AV15 + 1)</xm:f>
            <x14:dxf>
              <fill>
                <patternFill>
                  <bgColor indexed="52"/>
                </patternFill>
              </fill>
            </x14:dxf>
          </x14:cfRule>
          <xm:sqref>BA15</xm:sqref>
        </x14:conditionalFormatting>
        <x14:conditionalFormatting xmlns:xm="http://schemas.microsoft.com/office/excel/2006/main">
          <x14:cfRule type="expression" priority="268" stopIfTrue="1" id="{14AD81D4-1B92-462F-80AE-5D3CCF4D5618}">
            <xm:f>(60 * HOUR(BB15) + MINUTE(BB15)) &gt;(60 * HOUR(INDEX('1.Locations'!G2:G32,AV15 + 1)) +MINUTE(INDEX('1.Locations'!G2:G32,AV15 + 1)))</xm:f>
            <x14:dxf>
              <fill>
                <patternFill>
                  <bgColor indexed="10"/>
                </patternFill>
              </fill>
            </x14:dxf>
          </x14:cfRule>
          <xm:sqref>BB15</xm:sqref>
        </x14:conditionalFormatting>
        <x14:conditionalFormatting xmlns:xm="http://schemas.microsoft.com/office/excel/2006/main">
          <x14:cfRule type="cellIs" priority="269" stopIfTrue="1" operator="lessThan" id="{101DCD10-0B8B-435D-8E17-EE01367CDFDD}">
            <xm:f>INDEX('1.Locations'!F2:F32,AV16 + 1)</xm:f>
            <x14:dxf>
              <fill>
                <patternFill>
                  <bgColor indexed="52"/>
                </patternFill>
              </fill>
            </x14:dxf>
          </x14:cfRule>
          <xm:sqref>BA16</xm:sqref>
        </x14:conditionalFormatting>
        <x14:conditionalFormatting xmlns:xm="http://schemas.microsoft.com/office/excel/2006/main">
          <x14:cfRule type="expression" priority="270" stopIfTrue="1" id="{96579EE8-2555-4235-A32C-3F0F592FEA3B}">
            <xm:f>(60 * HOUR(BB16) + MINUTE(BB16)) &gt;(60 * HOUR(INDEX('1.Locations'!G2:G32,AV16 + 1)) +MINUTE(INDEX('1.Locations'!G2:G32,AV16 + 1)))</xm:f>
            <x14:dxf>
              <fill>
                <patternFill>
                  <bgColor indexed="10"/>
                </patternFill>
              </fill>
            </x14:dxf>
          </x14:cfRule>
          <xm:sqref>BB16</xm:sqref>
        </x14:conditionalFormatting>
        <x14:conditionalFormatting xmlns:xm="http://schemas.microsoft.com/office/excel/2006/main">
          <x14:cfRule type="cellIs" priority="271" stopIfTrue="1" operator="lessThan" id="{99390AED-A4A2-4FBE-B8D0-11E5760B1CF3}">
            <xm:f>INDEX('1.Locations'!F2:F32,AV17 + 1)</xm:f>
            <x14:dxf>
              <fill>
                <patternFill>
                  <bgColor indexed="52"/>
                </patternFill>
              </fill>
            </x14:dxf>
          </x14:cfRule>
          <xm:sqref>BA17</xm:sqref>
        </x14:conditionalFormatting>
        <x14:conditionalFormatting xmlns:xm="http://schemas.microsoft.com/office/excel/2006/main">
          <x14:cfRule type="expression" priority="272" stopIfTrue="1" id="{11FE24E9-FB70-4F6B-B935-D93B80B68B39}">
            <xm:f>(60 * HOUR(BB17) + MINUTE(BB17)) &gt;(60 * HOUR(INDEX('1.Locations'!G2:G32,AV17 + 1)) +MINUTE(INDEX('1.Locations'!G2:G32,AV17 + 1)))</xm:f>
            <x14:dxf>
              <fill>
                <patternFill>
                  <bgColor indexed="10"/>
                </patternFill>
              </fill>
            </x14:dxf>
          </x14:cfRule>
          <xm:sqref>BB17</xm:sqref>
        </x14:conditionalFormatting>
        <x14:conditionalFormatting xmlns:xm="http://schemas.microsoft.com/office/excel/2006/main">
          <x14:cfRule type="cellIs" priority="273" stopIfTrue="1" operator="lessThan" id="{DFAD399B-EB1C-4316-9779-92A7C2AFAAE4}">
            <xm:f>INDEX('1.Locations'!F2:F32,AV18 + 1)</xm:f>
            <x14:dxf>
              <fill>
                <patternFill>
                  <bgColor indexed="52"/>
                </patternFill>
              </fill>
            </x14:dxf>
          </x14:cfRule>
          <xm:sqref>BA18</xm:sqref>
        </x14:conditionalFormatting>
        <x14:conditionalFormatting xmlns:xm="http://schemas.microsoft.com/office/excel/2006/main">
          <x14:cfRule type="expression" priority="274" stopIfTrue="1" id="{6B324696-BFE2-48F6-9ED2-86C8B21060FD}">
            <xm:f>(60 * HOUR(BB18) + MINUTE(BB18)) &gt;(60 * HOUR(INDEX('1.Locations'!G2:G32,AV18 + 1)) +MINUTE(INDEX('1.Locations'!G2:G32,AV18 + 1)))</xm:f>
            <x14:dxf>
              <fill>
                <patternFill>
                  <bgColor indexed="10"/>
                </patternFill>
              </fill>
            </x14:dxf>
          </x14:cfRule>
          <xm:sqref>BB18</xm:sqref>
        </x14:conditionalFormatting>
        <x14:conditionalFormatting xmlns:xm="http://schemas.microsoft.com/office/excel/2006/main">
          <x14:cfRule type="cellIs" priority="275" stopIfTrue="1" operator="lessThan" id="{6B421805-C4C2-4D8B-A28E-16944C451AA7}">
            <xm:f>INDEX('1.Locations'!F2:F32,AV19 + 1)</xm:f>
            <x14:dxf>
              <fill>
                <patternFill>
                  <bgColor indexed="52"/>
                </patternFill>
              </fill>
            </x14:dxf>
          </x14:cfRule>
          <xm:sqref>BA19</xm:sqref>
        </x14:conditionalFormatting>
        <x14:conditionalFormatting xmlns:xm="http://schemas.microsoft.com/office/excel/2006/main">
          <x14:cfRule type="expression" priority="276" stopIfTrue="1" id="{D4EE02C8-E04C-4442-9ABD-164947D4112B}">
            <xm:f>(60 * HOUR(BB19) + MINUTE(BB19)) &gt;(60 * HOUR(INDEX('1.Locations'!G2:G32,AV19 + 1)) +MINUTE(INDEX('1.Locations'!G2:G32,AV19 + 1)))</xm:f>
            <x14:dxf>
              <fill>
                <patternFill>
                  <bgColor indexed="10"/>
                </patternFill>
              </fill>
            </x14:dxf>
          </x14:cfRule>
          <xm:sqref>BB19</xm:sqref>
        </x14:conditionalFormatting>
        <x14:conditionalFormatting xmlns:xm="http://schemas.microsoft.com/office/excel/2006/main">
          <x14:cfRule type="cellIs" priority="277" stopIfTrue="1" operator="lessThan" id="{DA254C2D-F333-406C-A9F0-AD61517D186E}">
            <xm:f>INDEX('1.Locations'!F2:F32,AV20 + 1)</xm:f>
            <x14:dxf>
              <fill>
                <patternFill>
                  <bgColor indexed="52"/>
                </patternFill>
              </fill>
            </x14:dxf>
          </x14:cfRule>
          <xm:sqref>BA20</xm:sqref>
        </x14:conditionalFormatting>
        <x14:conditionalFormatting xmlns:xm="http://schemas.microsoft.com/office/excel/2006/main">
          <x14:cfRule type="expression" priority="278" stopIfTrue="1" id="{D28FEBD9-2F2E-4807-AE70-838C4B5F6EA8}">
            <xm:f>(60 * HOUR(BB20) + MINUTE(BB20)) &gt;(60 * HOUR(INDEX('1.Locations'!G2:G32,AV20 + 1)) +MINUTE(INDEX('1.Locations'!G2:G32,AV20 + 1)))</xm:f>
            <x14:dxf>
              <fill>
                <patternFill>
                  <bgColor indexed="10"/>
                </patternFill>
              </fill>
            </x14:dxf>
          </x14:cfRule>
          <xm:sqref>BB20</xm:sqref>
        </x14:conditionalFormatting>
        <x14:conditionalFormatting xmlns:xm="http://schemas.microsoft.com/office/excel/2006/main">
          <x14:cfRule type="cellIs" priority="279" stopIfTrue="1" operator="lessThan" id="{5DBC01E1-FA05-493A-B966-C0375AEB7651}">
            <xm:f>INDEX('1.Locations'!F2:F32,AV21 + 1)</xm:f>
            <x14:dxf>
              <fill>
                <patternFill>
                  <bgColor indexed="52"/>
                </patternFill>
              </fill>
            </x14:dxf>
          </x14:cfRule>
          <xm:sqref>BA21</xm:sqref>
        </x14:conditionalFormatting>
        <x14:conditionalFormatting xmlns:xm="http://schemas.microsoft.com/office/excel/2006/main">
          <x14:cfRule type="expression" priority="280" stopIfTrue="1" id="{631A19E4-0CC1-4B05-8FBA-6772CDF2C635}">
            <xm:f>(60 * HOUR(BB21) + MINUTE(BB21)) &gt;(60 * HOUR(INDEX('1.Locations'!G2:G32,AV21 + 1)) +MINUTE(INDEX('1.Locations'!G2:G32,AV21 + 1)))</xm:f>
            <x14:dxf>
              <fill>
                <patternFill>
                  <bgColor indexed="10"/>
                </patternFill>
              </fill>
            </x14:dxf>
          </x14:cfRule>
          <xm:sqref>BB21</xm:sqref>
        </x14:conditionalFormatting>
        <x14:conditionalFormatting xmlns:xm="http://schemas.microsoft.com/office/excel/2006/main">
          <x14:cfRule type="cellIs" priority="281" stopIfTrue="1" operator="lessThan" id="{5691EB01-0025-45FE-88D2-32ABF062E683}">
            <xm:f>INDEX('1.Locations'!F2:F32,AV22 + 1)</xm:f>
            <x14:dxf>
              <fill>
                <patternFill>
                  <bgColor indexed="52"/>
                </patternFill>
              </fill>
            </x14:dxf>
          </x14:cfRule>
          <xm:sqref>BA22</xm:sqref>
        </x14:conditionalFormatting>
        <x14:conditionalFormatting xmlns:xm="http://schemas.microsoft.com/office/excel/2006/main">
          <x14:cfRule type="expression" priority="282" stopIfTrue="1" id="{67ED76C1-E555-499F-BE07-58357CCAD0EB}">
            <xm:f>(60 * HOUR(BB22) + MINUTE(BB22)) &gt;(60 * HOUR(INDEX('1.Locations'!G2:G32,AV22 + 1)) +MINUTE(INDEX('1.Locations'!G2:G32,AV22 + 1)))</xm:f>
            <x14:dxf>
              <fill>
                <patternFill>
                  <bgColor indexed="10"/>
                </patternFill>
              </fill>
            </x14:dxf>
          </x14:cfRule>
          <xm:sqref>BB22</xm:sqref>
        </x14:conditionalFormatting>
        <x14:conditionalFormatting xmlns:xm="http://schemas.microsoft.com/office/excel/2006/main">
          <x14:cfRule type="cellIs" priority="283" stopIfTrue="1" operator="lessThan" id="{28DE86B4-B9CE-4CA2-ADAA-5BB2D7FB1D71}">
            <xm:f>INDEX('1.Locations'!F2:F32,AV23 + 1)</xm:f>
            <x14:dxf>
              <fill>
                <patternFill>
                  <bgColor indexed="52"/>
                </patternFill>
              </fill>
            </x14:dxf>
          </x14:cfRule>
          <xm:sqref>BA23</xm:sqref>
        </x14:conditionalFormatting>
        <x14:conditionalFormatting xmlns:xm="http://schemas.microsoft.com/office/excel/2006/main">
          <x14:cfRule type="expression" priority="284" stopIfTrue="1" id="{95FB04F0-B0E4-440A-BCA4-5282771CF0A0}">
            <xm:f>(60 * HOUR(BB23) + MINUTE(BB23)) &gt;(60 * HOUR(INDEX('1.Locations'!G2:G32,AV23 + 1)) +MINUTE(INDEX('1.Locations'!G2:G32,AV23 + 1)))</xm:f>
            <x14:dxf>
              <fill>
                <patternFill>
                  <bgColor indexed="10"/>
                </patternFill>
              </fill>
            </x14:dxf>
          </x14:cfRule>
          <xm:sqref>BB23</xm:sqref>
        </x14:conditionalFormatting>
        <x14:conditionalFormatting xmlns:xm="http://schemas.microsoft.com/office/excel/2006/main">
          <x14:cfRule type="cellIs" priority="285" stopIfTrue="1" operator="lessThan" id="{C1044B5C-1726-4AFA-803B-2CFBF2278F0F}">
            <xm:f>INDEX('1.Locations'!F2:F32,AV24 + 1)</xm:f>
            <x14:dxf>
              <fill>
                <patternFill>
                  <bgColor indexed="52"/>
                </patternFill>
              </fill>
            </x14:dxf>
          </x14:cfRule>
          <xm:sqref>BA24</xm:sqref>
        </x14:conditionalFormatting>
        <x14:conditionalFormatting xmlns:xm="http://schemas.microsoft.com/office/excel/2006/main">
          <x14:cfRule type="expression" priority="286" stopIfTrue="1" id="{446ADCE2-50FD-4B48-945E-528E55C98BD7}">
            <xm:f>(60 * HOUR(BB24) + MINUTE(BB24)) &gt;(60 * HOUR(INDEX('1.Locations'!G2:G32,AV24 + 1)) +MINUTE(INDEX('1.Locations'!G2:G32,AV24 + 1)))</xm:f>
            <x14:dxf>
              <fill>
                <patternFill>
                  <bgColor indexed="10"/>
                </patternFill>
              </fill>
            </x14:dxf>
          </x14:cfRule>
          <xm:sqref>BB24</xm:sqref>
        </x14:conditionalFormatting>
        <x14:conditionalFormatting xmlns:xm="http://schemas.microsoft.com/office/excel/2006/main">
          <x14:cfRule type="cellIs" priority="287" stopIfTrue="1" operator="lessThan" id="{4A855C18-5D79-499A-B449-64CC4EC4FC2B}">
            <xm:f>INDEX('1.Locations'!F2:F32,AV25 + 1)</xm:f>
            <x14:dxf>
              <fill>
                <patternFill>
                  <bgColor indexed="52"/>
                </patternFill>
              </fill>
            </x14:dxf>
          </x14:cfRule>
          <xm:sqref>BA25</xm:sqref>
        </x14:conditionalFormatting>
        <x14:conditionalFormatting xmlns:xm="http://schemas.microsoft.com/office/excel/2006/main">
          <x14:cfRule type="expression" priority="288" stopIfTrue="1" id="{F9FBC393-BCAB-4216-B115-E6C31F2F91EA}">
            <xm:f>(60 * HOUR(BB25) + MINUTE(BB25)) &gt;(60 * HOUR(INDEX('1.Locations'!G2:G32,AV25 + 1)) +MINUTE(INDEX('1.Locations'!G2:G32,AV25 + 1)))</xm:f>
            <x14:dxf>
              <fill>
                <patternFill>
                  <bgColor indexed="10"/>
                </patternFill>
              </fill>
            </x14:dxf>
          </x14:cfRule>
          <xm:sqref>BB25</xm:sqref>
        </x14:conditionalFormatting>
        <x14:conditionalFormatting xmlns:xm="http://schemas.microsoft.com/office/excel/2006/main">
          <x14:cfRule type="cellIs" priority="289" stopIfTrue="1" operator="lessThan" id="{CA40DD01-43D7-4265-92E3-0B1791889FFE}">
            <xm:f>INDEX('1.Locations'!F2:F32,AV26 + 1)</xm:f>
            <x14:dxf>
              <fill>
                <patternFill>
                  <bgColor indexed="52"/>
                </patternFill>
              </fill>
            </x14:dxf>
          </x14:cfRule>
          <xm:sqref>BA26</xm:sqref>
        </x14:conditionalFormatting>
        <x14:conditionalFormatting xmlns:xm="http://schemas.microsoft.com/office/excel/2006/main">
          <x14:cfRule type="expression" priority="290" stopIfTrue="1" id="{01FD9908-2515-49B4-B4A6-E965EE3702BB}">
            <xm:f>(60 * HOUR(BB26) + MINUTE(BB26)) &gt;(60 * HOUR(INDEX('1.Locations'!G2:G32,AV26 + 1)) +MINUTE(INDEX('1.Locations'!G2:G32,AV26 + 1)))</xm:f>
            <x14:dxf>
              <fill>
                <patternFill>
                  <bgColor indexed="10"/>
                </patternFill>
              </fill>
            </x14:dxf>
          </x14:cfRule>
          <xm:sqref>BB26</xm:sqref>
        </x14:conditionalFormatting>
        <x14:conditionalFormatting xmlns:xm="http://schemas.microsoft.com/office/excel/2006/main">
          <x14:cfRule type="cellIs" priority="291" stopIfTrue="1" operator="lessThan" id="{77B8312D-A446-4D5A-AA97-16AABE70F8EE}">
            <xm:f>INDEX('1.Locations'!F2:F32,AV27 + 1)</xm:f>
            <x14:dxf>
              <fill>
                <patternFill>
                  <bgColor indexed="52"/>
                </patternFill>
              </fill>
            </x14:dxf>
          </x14:cfRule>
          <xm:sqref>BA27</xm:sqref>
        </x14:conditionalFormatting>
        <x14:conditionalFormatting xmlns:xm="http://schemas.microsoft.com/office/excel/2006/main">
          <x14:cfRule type="expression" priority="292" stopIfTrue="1" id="{20BC6B9A-88F1-4B21-B220-5074983FBE7F}">
            <xm:f>(60 * HOUR(BB27) + MINUTE(BB27)) &gt;(60 * HOUR(INDEX('1.Locations'!G2:G32,AV27 + 1)) +MINUTE(INDEX('1.Locations'!G2:G32,AV27 + 1)))</xm:f>
            <x14:dxf>
              <fill>
                <patternFill>
                  <bgColor indexed="10"/>
                </patternFill>
              </fill>
            </x14:dxf>
          </x14:cfRule>
          <xm:sqref>BB27</xm:sqref>
        </x14:conditionalFormatting>
        <x14:conditionalFormatting xmlns:xm="http://schemas.microsoft.com/office/excel/2006/main">
          <x14:cfRule type="cellIs" priority="293" stopIfTrue="1" operator="lessThan" id="{ACEC0365-4466-470A-A6F7-65C8F9B883DE}">
            <xm:f>INDEX('1.Locations'!F2:F32,AV28 + 1)</xm:f>
            <x14:dxf>
              <fill>
                <patternFill>
                  <bgColor indexed="52"/>
                </patternFill>
              </fill>
            </x14:dxf>
          </x14:cfRule>
          <xm:sqref>BA28</xm:sqref>
        </x14:conditionalFormatting>
        <x14:conditionalFormatting xmlns:xm="http://schemas.microsoft.com/office/excel/2006/main">
          <x14:cfRule type="expression" priority="294" stopIfTrue="1" id="{206D5B89-FB6A-4657-82A9-0BA989FB9D73}">
            <xm:f>(60 * HOUR(BB28) + MINUTE(BB28)) &gt;(60 * HOUR(INDEX('1.Locations'!G2:G32,AV28 + 1)) +MINUTE(INDEX('1.Locations'!G2:G32,AV28 + 1)))</xm:f>
            <x14:dxf>
              <fill>
                <patternFill>
                  <bgColor indexed="10"/>
                </patternFill>
              </fill>
            </x14:dxf>
          </x14:cfRule>
          <xm:sqref>BB28</xm:sqref>
        </x14:conditionalFormatting>
        <x14:conditionalFormatting xmlns:xm="http://schemas.microsoft.com/office/excel/2006/main">
          <x14:cfRule type="cellIs" priority="295" stopIfTrue="1" operator="lessThan" id="{DEDCACCC-1053-471E-8AD4-5C7BA90767A8}">
            <xm:f>INDEX('1.Locations'!F2:F32,AV29 + 1)</xm:f>
            <x14:dxf>
              <fill>
                <patternFill>
                  <bgColor indexed="52"/>
                </patternFill>
              </fill>
            </x14:dxf>
          </x14:cfRule>
          <xm:sqref>BA29</xm:sqref>
        </x14:conditionalFormatting>
        <x14:conditionalFormatting xmlns:xm="http://schemas.microsoft.com/office/excel/2006/main">
          <x14:cfRule type="expression" priority="296" stopIfTrue="1" id="{FE155254-E61E-468E-8C13-D3BB372E821D}">
            <xm:f>(60 * HOUR(BB29) + MINUTE(BB29)) &gt;(60 * HOUR(INDEX('1.Locations'!G2:G32,AV29 + 1)) +MINUTE(INDEX('1.Locations'!G2:G32,AV29 + 1)))</xm:f>
            <x14:dxf>
              <fill>
                <patternFill>
                  <bgColor indexed="10"/>
                </patternFill>
              </fill>
            </x14:dxf>
          </x14:cfRule>
          <xm:sqref>BB29</xm:sqref>
        </x14:conditionalFormatting>
        <x14:conditionalFormatting xmlns:xm="http://schemas.microsoft.com/office/excel/2006/main">
          <x14:cfRule type="cellIs" priority="297" stopIfTrue="1" operator="lessThan" id="{8AAE3B37-F4D7-4EC6-AC8D-54F0E3B970DE}">
            <xm:f>INDEX('1.Locations'!F2:F32,AV30 + 1)</xm:f>
            <x14:dxf>
              <fill>
                <patternFill>
                  <bgColor indexed="52"/>
                </patternFill>
              </fill>
            </x14:dxf>
          </x14:cfRule>
          <xm:sqref>BA30</xm:sqref>
        </x14:conditionalFormatting>
        <x14:conditionalFormatting xmlns:xm="http://schemas.microsoft.com/office/excel/2006/main">
          <x14:cfRule type="expression" priority="298" stopIfTrue="1" id="{4FB6CF0F-8A39-4A66-8838-91D485CC5AF5}">
            <xm:f>(60 * HOUR(BB30) + MINUTE(BB30)) &gt;(60 * HOUR(INDEX('1.Locations'!G2:G32,AV30 + 1)) +MINUTE(INDEX('1.Locations'!G2:G32,AV30 + 1)))</xm:f>
            <x14:dxf>
              <fill>
                <patternFill>
                  <bgColor indexed="10"/>
                </patternFill>
              </fill>
            </x14:dxf>
          </x14:cfRule>
          <xm:sqref>BB30</xm:sqref>
        </x14:conditionalFormatting>
        <x14:conditionalFormatting xmlns:xm="http://schemas.microsoft.com/office/excel/2006/main">
          <x14:cfRule type="cellIs" priority="299" stopIfTrue="1" operator="lessThan" id="{70B4F7E3-E6C2-491C-8A84-4D0DBDF3E00A}">
            <xm:f>INDEX('1.Locations'!F2:F32,AV31 + 1)</xm:f>
            <x14:dxf>
              <fill>
                <patternFill>
                  <bgColor indexed="52"/>
                </patternFill>
              </fill>
            </x14:dxf>
          </x14:cfRule>
          <xm:sqref>BA31</xm:sqref>
        </x14:conditionalFormatting>
        <x14:conditionalFormatting xmlns:xm="http://schemas.microsoft.com/office/excel/2006/main">
          <x14:cfRule type="expression" priority="300" stopIfTrue="1" id="{2027105B-5C5E-4553-A0A4-2DE374EEA30A}">
            <xm:f>(60 * HOUR(BB31) + MINUTE(BB31)) &gt;(60 * HOUR(INDEX('1.Locations'!G2:G32,AV31 + 1)) +MINUTE(INDEX('1.Locations'!G2:G32,AV31 + 1)))</xm:f>
            <x14:dxf>
              <fill>
                <patternFill>
                  <bgColor indexed="10"/>
                </patternFill>
              </fill>
            </x14:dxf>
          </x14:cfRule>
          <xm:sqref>BB31</xm:sqref>
        </x14:conditionalFormatting>
        <x14:conditionalFormatting xmlns:xm="http://schemas.microsoft.com/office/excel/2006/main">
          <x14:cfRule type="cellIs" priority="301" stopIfTrue="1" operator="lessThan" id="{2E5B59C4-12EA-4D5B-941F-90EA0BA7C681}">
            <xm:f>INDEX('1.Locations'!F2:F32,AV32 + 1)</xm:f>
            <x14:dxf>
              <fill>
                <patternFill>
                  <bgColor indexed="52"/>
                </patternFill>
              </fill>
            </x14:dxf>
          </x14:cfRule>
          <xm:sqref>BA32</xm:sqref>
        </x14:conditionalFormatting>
        <x14:conditionalFormatting xmlns:xm="http://schemas.microsoft.com/office/excel/2006/main">
          <x14:cfRule type="expression" priority="302" stopIfTrue="1" id="{D26AB293-1AE5-42EF-A314-6C8D4E57B850}">
            <xm:f>(60 * HOUR(BB32) + MINUTE(BB32)) &gt;(60 * HOUR(INDEX('1.Locations'!G2:G32,AV32 + 1)) +MINUTE(INDEX('1.Locations'!G2:G32,AV32 + 1)))</xm:f>
            <x14:dxf>
              <fill>
                <patternFill>
                  <bgColor indexed="10"/>
                </patternFill>
              </fill>
            </x14:dxf>
          </x14:cfRule>
          <xm:sqref>BB32</xm:sqref>
        </x14:conditionalFormatting>
        <x14:conditionalFormatting xmlns:xm="http://schemas.microsoft.com/office/excel/2006/main">
          <x14:cfRule type="cellIs" priority="303" stopIfTrue="1" operator="lessThan" id="{132756AE-8067-40C9-A48D-9E48143710FF}">
            <xm:f>INDEX('1.Locations'!F2:F32,AV33 + 1)</xm:f>
            <x14:dxf>
              <fill>
                <patternFill>
                  <bgColor indexed="52"/>
                </patternFill>
              </fill>
            </x14:dxf>
          </x14:cfRule>
          <xm:sqref>BA33</xm:sqref>
        </x14:conditionalFormatting>
        <x14:conditionalFormatting xmlns:xm="http://schemas.microsoft.com/office/excel/2006/main">
          <x14:cfRule type="expression" priority="304" stopIfTrue="1" id="{638C951D-1A34-487B-ADD2-2509E447D1B0}">
            <xm:f>(60 * HOUR(BB33) + MINUTE(BB33)) &gt;(60 * HOUR(INDEX('1.Locations'!G2:G32,AV33 + 1)) +MINUTE(INDEX('1.Locations'!G2:G32,AV33 + 1)))</xm:f>
            <x14:dxf>
              <fill>
                <patternFill>
                  <bgColor indexed="10"/>
                </patternFill>
              </fill>
            </x14:dxf>
          </x14:cfRule>
          <xm:sqref>BB33</xm:sqref>
        </x14:conditionalFormatting>
        <x14:conditionalFormatting xmlns:xm="http://schemas.microsoft.com/office/excel/2006/main">
          <x14:cfRule type="cellIs" priority="305" stopIfTrue="1" operator="lessThan" id="{40951AD0-6CD2-4FEC-9261-DCA208CB843D}">
            <xm:f>INDEX('1.Locations'!F2:F32,AV34 + 1)</xm:f>
            <x14:dxf>
              <fill>
                <patternFill>
                  <bgColor indexed="52"/>
                </patternFill>
              </fill>
            </x14:dxf>
          </x14:cfRule>
          <xm:sqref>BA34</xm:sqref>
        </x14:conditionalFormatting>
        <x14:conditionalFormatting xmlns:xm="http://schemas.microsoft.com/office/excel/2006/main">
          <x14:cfRule type="expression" priority="306" stopIfTrue="1" id="{A9521411-F0C2-440C-A321-A194DBCE85B4}">
            <xm:f>(60 * HOUR(BB34) + MINUTE(BB34)) &gt;(60 * HOUR(INDEX('1.Locations'!G2:G32,AV34 + 1)) +MINUTE(INDEX('1.Locations'!G2:G32,AV34 + 1)))</xm:f>
            <x14:dxf>
              <fill>
                <patternFill>
                  <bgColor indexed="10"/>
                </patternFill>
              </fill>
            </x14:dxf>
          </x14:cfRule>
          <xm:sqref>BB34</xm:sqref>
        </x14:conditionalFormatting>
        <x14:conditionalFormatting xmlns:xm="http://schemas.microsoft.com/office/excel/2006/main">
          <x14:cfRule type="cellIs" priority="307" stopIfTrue="1" operator="lessThan" id="{052ECCFA-6FAB-4980-BC88-253A4741EB9F}">
            <xm:f>INDEX('1.Locations'!F2:F32,AV35 + 1)</xm:f>
            <x14:dxf>
              <fill>
                <patternFill>
                  <bgColor indexed="52"/>
                </patternFill>
              </fill>
            </x14:dxf>
          </x14:cfRule>
          <xm:sqref>BA35</xm:sqref>
        </x14:conditionalFormatting>
        <x14:conditionalFormatting xmlns:xm="http://schemas.microsoft.com/office/excel/2006/main">
          <x14:cfRule type="expression" priority="308" stopIfTrue="1" id="{953B65A2-A6A6-4CF4-83F7-C2A2DD57971A}">
            <xm:f>(60 * HOUR(BB35) + MINUTE(BB35)) &gt;(60 * HOUR(INDEX('1.Locations'!G2:G32,AV35 + 1)) +MINUTE(INDEX('1.Locations'!G2:G32,AV35 + 1)))</xm:f>
            <x14:dxf>
              <fill>
                <patternFill>
                  <bgColor indexed="10"/>
                </patternFill>
              </fill>
            </x14:dxf>
          </x14:cfRule>
          <xm:sqref>BB35</xm:sqref>
        </x14:conditionalFormatting>
        <x14:conditionalFormatting xmlns:xm="http://schemas.microsoft.com/office/excel/2006/main">
          <x14:cfRule type="cellIs" priority="309" stopIfTrue="1" operator="lessThan" id="{8234631D-0EFC-492D-A1C9-9C4E11351898}">
            <xm:f>INDEX('1.Locations'!F2:F32,AV36 + 1)</xm:f>
            <x14:dxf>
              <fill>
                <patternFill>
                  <bgColor indexed="52"/>
                </patternFill>
              </fill>
            </x14:dxf>
          </x14:cfRule>
          <xm:sqref>BA36</xm:sqref>
        </x14:conditionalFormatting>
        <x14:conditionalFormatting xmlns:xm="http://schemas.microsoft.com/office/excel/2006/main">
          <x14:cfRule type="expression" priority="310" stopIfTrue="1" id="{E1ED9622-707C-4922-A4D8-58ED99207AF2}">
            <xm:f>(60 * HOUR(BB36) + MINUTE(BB36)) &gt;(60 * HOUR(INDEX('1.Locations'!G2:G32,AV36 + 1)) +MINUTE(INDEX('1.Locations'!G2:G32,AV36 + 1)))</xm:f>
            <x14:dxf>
              <fill>
                <patternFill>
                  <bgColor indexed="10"/>
                </patternFill>
              </fill>
            </x14:dxf>
          </x14:cfRule>
          <xm:sqref>BB36</xm:sqref>
        </x14:conditionalFormatting>
        <x14:conditionalFormatting xmlns:xm="http://schemas.microsoft.com/office/excel/2006/main">
          <x14:cfRule type="cellIs" priority="311" stopIfTrue="1" operator="greaterThan" id="{DC1A7069-B3FB-4942-9A9C-4D1B778C3942}">
            <xm:f>'3.Vehicles'!$F$2</xm:f>
            <x14:dxf>
              <fill>
                <patternFill>
                  <bgColor indexed="10"/>
                </patternFill>
              </fill>
            </x14:dxf>
          </x14:cfRule>
          <xm:sqref>AY6:AY36</xm:sqref>
        </x14:conditionalFormatting>
        <x14:conditionalFormatting xmlns:xm="http://schemas.microsoft.com/office/excel/2006/main">
          <x14:cfRule type="cellIs" priority="312" stopIfTrue="1" operator="greaterThan" id="{C795E504-AB52-4713-8D24-BBA4DD683DCC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BG5:BG36</xm:sqref>
        </x14:conditionalFormatting>
        <x14:conditionalFormatting xmlns:xm="http://schemas.microsoft.com/office/excel/2006/main">
          <x14:cfRule type="cellIs" priority="314" stopIfTrue="1" operator="greaterThan" id="{D85A74DB-DB91-4A00-8A7D-7406E579F5C0}">
            <xm:f>'3.Vehicles'!$H$2</xm:f>
            <x14:dxf>
              <fill>
                <patternFill>
                  <bgColor indexed="10"/>
                </patternFill>
              </fill>
            </x14:dxf>
          </x14:cfRule>
          <xm:sqref>AZ6:AZ36</xm:sqref>
        </x14:conditionalFormatting>
        <x14:conditionalFormatting xmlns:xm="http://schemas.microsoft.com/office/excel/2006/main">
          <x14:cfRule type="cellIs" priority="315" stopIfTrue="1" operator="greaterThan" id="{8A156D00-D3B4-4B86-A696-1A992508F696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BC6:BC36</xm:sqref>
        </x14:conditionalFormatting>
        <x14:conditionalFormatting xmlns:xm="http://schemas.microsoft.com/office/excel/2006/main">
          <x14:cfRule type="expression" priority="317" stopIfTrue="1" id="{8F3C968A-2094-4498-AF19-951780322AD1}">
            <xm:f>(60 * HOUR(BQ5) + MINUTE(BQ5)) &gt;(60 * HOUR(INDEX('1.Locations'!G2:G32,BK5 + 1)) +MINUTE(INDEX('1.Locations'!G2:G32,BK5 + 1)))</xm:f>
            <x14:dxf>
              <fill>
                <patternFill>
                  <bgColor indexed="10"/>
                </patternFill>
              </fill>
            </x14:dxf>
          </x14:cfRule>
          <xm:sqref>BQ5</xm:sqref>
        </x14:conditionalFormatting>
        <x14:conditionalFormatting xmlns:xm="http://schemas.microsoft.com/office/excel/2006/main">
          <x14:cfRule type="cellIs" priority="318" stopIfTrue="1" operator="lessThan" id="{0F16630F-1894-45F1-8BD6-C375CF8D9A53}">
            <xm:f>INDEX('1.Locations'!F2:F32,BK6 + 1)</xm:f>
            <x14:dxf>
              <fill>
                <patternFill>
                  <bgColor indexed="52"/>
                </patternFill>
              </fill>
            </x14:dxf>
          </x14:cfRule>
          <xm:sqref>BP6</xm:sqref>
        </x14:conditionalFormatting>
        <x14:conditionalFormatting xmlns:xm="http://schemas.microsoft.com/office/excel/2006/main">
          <x14:cfRule type="expression" priority="319" stopIfTrue="1" id="{71AF23AF-5734-4F83-9323-7493AAFCE375}">
            <xm:f>(60 * HOUR(BQ6) + MINUTE(BQ6)) &gt;(60 * HOUR(INDEX('1.Locations'!G2:G32,BK6 + 1)) +MINUTE(INDEX('1.Locations'!G2:G32,BK6 + 1)))</xm:f>
            <x14:dxf>
              <fill>
                <patternFill>
                  <bgColor indexed="10"/>
                </patternFill>
              </fill>
            </x14:dxf>
          </x14:cfRule>
          <xm:sqref>BQ6</xm:sqref>
        </x14:conditionalFormatting>
        <x14:conditionalFormatting xmlns:xm="http://schemas.microsoft.com/office/excel/2006/main">
          <x14:cfRule type="cellIs" priority="320" stopIfTrue="1" operator="lessThan" id="{1EC08F8E-D8DA-47F5-8CE3-996B4EBECB34}">
            <xm:f>INDEX('1.Locations'!F2:F32,BK7 + 1)</xm:f>
            <x14:dxf>
              <fill>
                <patternFill>
                  <bgColor indexed="52"/>
                </patternFill>
              </fill>
            </x14:dxf>
          </x14:cfRule>
          <xm:sqref>BP7</xm:sqref>
        </x14:conditionalFormatting>
        <x14:conditionalFormatting xmlns:xm="http://schemas.microsoft.com/office/excel/2006/main">
          <x14:cfRule type="expression" priority="321" stopIfTrue="1" id="{D5C717EA-F436-46AD-993F-55960F881FCD}">
            <xm:f>(60 * HOUR(BQ7) + MINUTE(BQ7)) &gt;(60 * HOUR(INDEX('1.Locations'!G2:G32,BK7 + 1)) +MINUTE(INDEX('1.Locations'!G2:G32,BK7 + 1)))</xm:f>
            <x14:dxf>
              <fill>
                <patternFill>
                  <bgColor indexed="10"/>
                </patternFill>
              </fill>
            </x14:dxf>
          </x14:cfRule>
          <xm:sqref>BQ7</xm:sqref>
        </x14:conditionalFormatting>
        <x14:conditionalFormatting xmlns:xm="http://schemas.microsoft.com/office/excel/2006/main">
          <x14:cfRule type="cellIs" priority="322" stopIfTrue="1" operator="lessThan" id="{2A22D4E2-4F88-4754-9A50-AB106A8D155B}">
            <xm:f>INDEX('1.Locations'!F2:F32,BK8 + 1)</xm:f>
            <x14:dxf>
              <fill>
                <patternFill>
                  <bgColor indexed="52"/>
                </patternFill>
              </fill>
            </x14:dxf>
          </x14:cfRule>
          <xm:sqref>BP8</xm:sqref>
        </x14:conditionalFormatting>
        <x14:conditionalFormatting xmlns:xm="http://schemas.microsoft.com/office/excel/2006/main">
          <x14:cfRule type="expression" priority="323" stopIfTrue="1" id="{333C333F-739D-46C0-9B20-604B6017135E}">
            <xm:f>(60 * HOUR(BQ8) + MINUTE(BQ8)) &gt;(60 * HOUR(INDEX('1.Locations'!G2:G32,BK8 + 1)) +MINUTE(INDEX('1.Locations'!G2:G32,BK8 + 1)))</xm:f>
            <x14:dxf>
              <fill>
                <patternFill>
                  <bgColor indexed="10"/>
                </patternFill>
              </fill>
            </x14:dxf>
          </x14:cfRule>
          <xm:sqref>BQ8</xm:sqref>
        </x14:conditionalFormatting>
        <x14:conditionalFormatting xmlns:xm="http://schemas.microsoft.com/office/excel/2006/main">
          <x14:cfRule type="cellIs" priority="324" stopIfTrue="1" operator="lessThan" id="{2B75ADC9-3B02-40B7-99A8-116D4B0B594A}">
            <xm:f>INDEX('1.Locations'!F2:F32,BK9 + 1)</xm:f>
            <x14:dxf>
              <fill>
                <patternFill>
                  <bgColor indexed="52"/>
                </patternFill>
              </fill>
            </x14:dxf>
          </x14:cfRule>
          <xm:sqref>BP9</xm:sqref>
        </x14:conditionalFormatting>
        <x14:conditionalFormatting xmlns:xm="http://schemas.microsoft.com/office/excel/2006/main">
          <x14:cfRule type="expression" priority="325" stopIfTrue="1" id="{B65A6F17-C708-44AA-B942-6294DDD2878B}">
            <xm:f>(60 * HOUR(BQ9) + MINUTE(BQ9)) &gt;(60 * HOUR(INDEX('1.Locations'!G2:G32,BK9 + 1)) +MINUTE(INDEX('1.Locations'!G2:G32,BK9 + 1)))</xm:f>
            <x14:dxf>
              <fill>
                <patternFill>
                  <bgColor indexed="10"/>
                </patternFill>
              </fill>
            </x14:dxf>
          </x14:cfRule>
          <xm:sqref>BQ9</xm:sqref>
        </x14:conditionalFormatting>
        <x14:conditionalFormatting xmlns:xm="http://schemas.microsoft.com/office/excel/2006/main">
          <x14:cfRule type="cellIs" priority="326" stopIfTrue="1" operator="lessThan" id="{4F56FE77-4DE4-427C-8559-A13116150344}">
            <xm:f>INDEX('1.Locations'!F2:F32,BK10 + 1)</xm:f>
            <x14:dxf>
              <fill>
                <patternFill>
                  <bgColor indexed="52"/>
                </patternFill>
              </fill>
            </x14:dxf>
          </x14:cfRule>
          <xm:sqref>BP10</xm:sqref>
        </x14:conditionalFormatting>
        <x14:conditionalFormatting xmlns:xm="http://schemas.microsoft.com/office/excel/2006/main">
          <x14:cfRule type="expression" priority="327" stopIfTrue="1" id="{9C98B65F-6609-435F-BACF-424CFE6276E7}">
            <xm:f>(60 * HOUR(BQ10) + MINUTE(BQ10)) &gt;(60 * HOUR(INDEX('1.Locations'!G2:G32,BK10 + 1)) +MINUTE(INDEX('1.Locations'!G2:G32,BK10 + 1)))</xm:f>
            <x14:dxf>
              <fill>
                <patternFill>
                  <bgColor indexed="10"/>
                </patternFill>
              </fill>
            </x14:dxf>
          </x14:cfRule>
          <xm:sqref>BQ10</xm:sqref>
        </x14:conditionalFormatting>
        <x14:conditionalFormatting xmlns:xm="http://schemas.microsoft.com/office/excel/2006/main">
          <x14:cfRule type="cellIs" priority="328" stopIfTrue="1" operator="lessThan" id="{DA207741-2ABB-4869-833A-5E75638AEC6E}">
            <xm:f>INDEX('1.Locations'!F2:F32,BK11 + 1)</xm:f>
            <x14:dxf>
              <fill>
                <patternFill>
                  <bgColor indexed="52"/>
                </patternFill>
              </fill>
            </x14:dxf>
          </x14:cfRule>
          <xm:sqref>BP11</xm:sqref>
        </x14:conditionalFormatting>
        <x14:conditionalFormatting xmlns:xm="http://schemas.microsoft.com/office/excel/2006/main">
          <x14:cfRule type="expression" priority="329" stopIfTrue="1" id="{4387E296-10AA-4B57-A715-2BC1639F9306}">
            <xm:f>(60 * HOUR(BQ11) + MINUTE(BQ11)) &gt;(60 * HOUR(INDEX('1.Locations'!G2:G32,BK11 + 1)) +MINUTE(INDEX('1.Locations'!G2:G32,BK11 + 1)))</xm:f>
            <x14:dxf>
              <fill>
                <patternFill>
                  <bgColor indexed="10"/>
                </patternFill>
              </fill>
            </x14:dxf>
          </x14:cfRule>
          <xm:sqref>BQ11</xm:sqref>
        </x14:conditionalFormatting>
        <x14:conditionalFormatting xmlns:xm="http://schemas.microsoft.com/office/excel/2006/main">
          <x14:cfRule type="cellIs" priority="330" stopIfTrue="1" operator="lessThan" id="{0763318D-72F7-4874-A789-D7665A657AA0}">
            <xm:f>INDEX('1.Locations'!F2:F32,BK12 + 1)</xm:f>
            <x14:dxf>
              <fill>
                <patternFill>
                  <bgColor indexed="52"/>
                </patternFill>
              </fill>
            </x14:dxf>
          </x14:cfRule>
          <xm:sqref>BP12</xm:sqref>
        </x14:conditionalFormatting>
        <x14:conditionalFormatting xmlns:xm="http://schemas.microsoft.com/office/excel/2006/main">
          <x14:cfRule type="expression" priority="331" stopIfTrue="1" id="{03BF6FA6-EBBA-4136-9E61-0E8DA76239B4}">
            <xm:f>(60 * HOUR(BQ12) + MINUTE(BQ12)) &gt;(60 * HOUR(INDEX('1.Locations'!G2:G32,BK12 + 1)) +MINUTE(INDEX('1.Locations'!G2:G32,BK12 + 1)))</xm:f>
            <x14:dxf>
              <fill>
                <patternFill>
                  <bgColor indexed="10"/>
                </patternFill>
              </fill>
            </x14:dxf>
          </x14:cfRule>
          <xm:sqref>BQ12</xm:sqref>
        </x14:conditionalFormatting>
        <x14:conditionalFormatting xmlns:xm="http://schemas.microsoft.com/office/excel/2006/main">
          <x14:cfRule type="cellIs" priority="332" stopIfTrue="1" operator="lessThan" id="{CBFB6B93-E53E-4067-9B7C-49C1C80CEC31}">
            <xm:f>INDEX('1.Locations'!F2:F32,BK13 + 1)</xm:f>
            <x14:dxf>
              <fill>
                <patternFill>
                  <bgColor indexed="52"/>
                </patternFill>
              </fill>
            </x14:dxf>
          </x14:cfRule>
          <xm:sqref>BP13</xm:sqref>
        </x14:conditionalFormatting>
        <x14:conditionalFormatting xmlns:xm="http://schemas.microsoft.com/office/excel/2006/main">
          <x14:cfRule type="expression" priority="333" stopIfTrue="1" id="{EF623E7B-5819-49FA-BA68-D8887D4FFB40}">
            <xm:f>(60 * HOUR(BQ13) + MINUTE(BQ13)) &gt;(60 * HOUR(INDEX('1.Locations'!G2:G32,BK13 + 1)) +MINUTE(INDEX('1.Locations'!G2:G32,BK13 + 1)))</xm:f>
            <x14:dxf>
              <fill>
                <patternFill>
                  <bgColor indexed="10"/>
                </patternFill>
              </fill>
            </x14:dxf>
          </x14:cfRule>
          <xm:sqref>BQ13</xm:sqref>
        </x14:conditionalFormatting>
        <x14:conditionalFormatting xmlns:xm="http://schemas.microsoft.com/office/excel/2006/main">
          <x14:cfRule type="cellIs" priority="334" stopIfTrue="1" operator="lessThan" id="{DCE845AB-FA35-4B99-A535-3E8E48D9D257}">
            <xm:f>INDEX('1.Locations'!F2:F32,BK14 + 1)</xm:f>
            <x14:dxf>
              <fill>
                <patternFill>
                  <bgColor indexed="52"/>
                </patternFill>
              </fill>
            </x14:dxf>
          </x14:cfRule>
          <xm:sqref>BP14</xm:sqref>
        </x14:conditionalFormatting>
        <x14:conditionalFormatting xmlns:xm="http://schemas.microsoft.com/office/excel/2006/main">
          <x14:cfRule type="expression" priority="335" stopIfTrue="1" id="{B0548120-81F0-4F06-ADF5-2CE6399B28BB}">
            <xm:f>(60 * HOUR(BQ14) + MINUTE(BQ14)) &gt;(60 * HOUR(INDEX('1.Locations'!G2:G32,BK14 + 1)) +MINUTE(INDEX('1.Locations'!G2:G32,BK14 + 1)))</xm:f>
            <x14:dxf>
              <fill>
                <patternFill>
                  <bgColor indexed="10"/>
                </patternFill>
              </fill>
            </x14:dxf>
          </x14:cfRule>
          <xm:sqref>BQ14</xm:sqref>
        </x14:conditionalFormatting>
        <x14:conditionalFormatting xmlns:xm="http://schemas.microsoft.com/office/excel/2006/main">
          <x14:cfRule type="cellIs" priority="336" stopIfTrue="1" operator="lessThan" id="{1537E35C-4C1B-4089-A8FB-E69BAFF36609}">
            <xm:f>INDEX('1.Locations'!F2:F32,BK15 + 1)</xm:f>
            <x14:dxf>
              <fill>
                <patternFill>
                  <bgColor indexed="52"/>
                </patternFill>
              </fill>
            </x14:dxf>
          </x14:cfRule>
          <xm:sqref>BP15</xm:sqref>
        </x14:conditionalFormatting>
        <x14:conditionalFormatting xmlns:xm="http://schemas.microsoft.com/office/excel/2006/main">
          <x14:cfRule type="expression" priority="337" stopIfTrue="1" id="{57B11411-6BB4-4633-AA1D-9495497E6C74}">
            <xm:f>(60 * HOUR(BQ15) + MINUTE(BQ15)) &gt;(60 * HOUR(INDEX('1.Locations'!G2:G32,BK15 + 1)) +MINUTE(INDEX('1.Locations'!G2:G32,BK15 + 1)))</xm:f>
            <x14:dxf>
              <fill>
                <patternFill>
                  <bgColor indexed="10"/>
                </patternFill>
              </fill>
            </x14:dxf>
          </x14:cfRule>
          <xm:sqref>BQ15</xm:sqref>
        </x14:conditionalFormatting>
        <x14:conditionalFormatting xmlns:xm="http://schemas.microsoft.com/office/excel/2006/main">
          <x14:cfRule type="cellIs" priority="338" stopIfTrue="1" operator="lessThan" id="{327ADF9E-B9BF-456A-BB9F-8602DB2CF548}">
            <xm:f>INDEX('1.Locations'!F2:F32,BK16 + 1)</xm:f>
            <x14:dxf>
              <fill>
                <patternFill>
                  <bgColor indexed="52"/>
                </patternFill>
              </fill>
            </x14:dxf>
          </x14:cfRule>
          <xm:sqref>BP16</xm:sqref>
        </x14:conditionalFormatting>
        <x14:conditionalFormatting xmlns:xm="http://schemas.microsoft.com/office/excel/2006/main">
          <x14:cfRule type="expression" priority="339" stopIfTrue="1" id="{A6E6C2BB-1F0F-4419-9EA0-9918766BE04C}">
            <xm:f>(60 * HOUR(BQ16) + MINUTE(BQ16)) &gt;(60 * HOUR(INDEX('1.Locations'!G2:G32,BK16 + 1)) +MINUTE(INDEX('1.Locations'!G2:G32,BK16 + 1)))</xm:f>
            <x14:dxf>
              <fill>
                <patternFill>
                  <bgColor indexed="10"/>
                </patternFill>
              </fill>
            </x14:dxf>
          </x14:cfRule>
          <xm:sqref>BQ16</xm:sqref>
        </x14:conditionalFormatting>
        <x14:conditionalFormatting xmlns:xm="http://schemas.microsoft.com/office/excel/2006/main">
          <x14:cfRule type="cellIs" priority="340" stopIfTrue="1" operator="lessThan" id="{26CD7AB5-D266-45D0-BA60-AD9236BF576B}">
            <xm:f>INDEX('1.Locations'!F2:F32,BK17 + 1)</xm:f>
            <x14:dxf>
              <fill>
                <patternFill>
                  <bgColor indexed="52"/>
                </patternFill>
              </fill>
            </x14:dxf>
          </x14:cfRule>
          <xm:sqref>BP17</xm:sqref>
        </x14:conditionalFormatting>
        <x14:conditionalFormatting xmlns:xm="http://schemas.microsoft.com/office/excel/2006/main">
          <x14:cfRule type="expression" priority="341" stopIfTrue="1" id="{F239029D-9F74-4C1E-8AF0-F6E99684E219}">
            <xm:f>(60 * HOUR(BQ17) + MINUTE(BQ17)) &gt;(60 * HOUR(INDEX('1.Locations'!G2:G32,BK17 + 1)) +MINUTE(INDEX('1.Locations'!G2:G32,BK17 + 1)))</xm:f>
            <x14:dxf>
              <fill>
                <patternFill>
                  <bgColor indexed="10"/>
                </patternFill>
              </fill>
            </x14:dxf>
          </x14:cfRule>
          <xm:sqref>BQ17</xm:sqref>
        </x14:conditionalFormatting>
        <x14:conditionalFormatting xmlns:xm="http://schemas.microsoft.com/office/excel/2006/main">
          <x14:cfRule type="cellIs" priority="342" stopIfTrue="1" operator="lessThan" id="{0590557C-070E-401B-8BD8-F3751169DB41}">
            <xm:f>INDEX('1.Locations'!F2:F32,BK18 + 1)</xm:f>
            <x14:dxf>
              <fill>
                <patternFill>
                  <bgColor indexed="52"/>
                </patternFill>
              </fill>
            </x14:dxf>
          </x14:cfRule>
          <xm:sqref>BP18</xm:sqref>
        </x14:conditionalFormatting>
        <x14:conditionalFormatting xmlns:xm="http://schemas.microsoft.com/office/excel/2006/main">
          <x14:cfRule type="expression" priority="343" stopIfTrue="1" id="{F2C52DE6-F1AA-4367-AD23-C3FAEFAE2A59}">
            <xm:f>(60 * HOUR(BQ18) + MINUTE(BQ18)) &gt;(60 * HOUR(INDEX('1.Locations'!G2:G32,BK18 + 1)) +MINUTE(INDEX('1.Locations'!G2:G32,BK18 + 1)))</xm:f>
            <x14:dxf>
              <fill>
                <patternFill>
                  <bgColor indexed="10"/>
                </patternFill>
              </fill>
            </x14:dxf>
          </x14:cfRule>
          <xm:sqref>BQ18</xm:sqref>
        </x14:conditionalFormatting>
        <x14:conditionalFormatting xmlns:xm="http://schemas.microsoft.com/office/excel/2006/main">
          <x14:cfRule type="cellIs" priority="344" stopIfTrue="1" operator="lessThan" id="{AB62017A-EF9A-4503-9333-E7820BD41781}">
            <xm:f>INDEX('1.Locations'!F2:F32,BK19 + 1)</xm:f>
            <x14:dxf>
              <fill>
                <patternFill>
                  <bgColor indexed="52"/>
                </patternFill>
              </fill>
            </x14:dxf>
          </x14:cfRule>
          <xm:sqref>BP19</xm:sqref>
        </x14:conditionalFormatting>
        <x14:conditionalFormatting xmlns:xm="http://schemas.microsoft.com/office/excel/2006/main">
          <x14:cfRule type="expression" priority="345" stopIfTrue="1" id="{2E466FB8-FD6D-455D-8349-E6F0A7E32E25}">
            <xm:f>(60 * HOUR(BQ19) + MINUTE(BQ19)) &gt;(60 * HOUR(INDEX('1.Locations'!G2:G32,BK19 + 1)) +MINUTE(INDEX('1.Locations'!G2:G32,BK19 + 1)))</xm:f>
            <x14:dxf>
              <fill>
                <patternFill>
                  <bgColor indexed="10"/>
                </patternFill>
              </fill>
            </x14:dxf>
          </x14:cfRule>
          <xm:sqref>BQ19</xm:sqref>
        </x14:conditionalFormatting>
        <x14:conditionalFormatting xmlns:xm="http://schemas.microsoft.com/office/excel/2006/main">
          <x14:cfRule type="cellIs" priority="346" stopIfTrue="1" operator="lessThan" id="{1D962ACC-81DC-4A6F-BA1C-72AD69DF2F2C}">
            <xm:f>INDEX('1.Locations'!F2:F32,BK20 + 1)</xm:f>
            <x14:dxf>
              <fill>
                <patternFill>
                  <bgColor indexed="52"/>
                </patternFill>
              </fill>
            </x14:dxf>
          </x14:cfRule>
          <xm:sqref>BP20</xm:sqref>
        </x14:conditionalFormatting>
        <x14:conditionalFormatting xmlns:xm="http://schemas.microsoft.com/office/excel/2006/main">
          <x14:cfRule type="expression" priority="347" stopIfTrue="1" id="{97220965-E221-496E-928B-76831F1909A7}">
            <xm:f>(60 * HOUR(BQ20) + MINUTE(BQ20)) &gt;(60 * HOUR(INDEX('1.Locations'!G2:G32,BK20 + 1)) +MINUTE(INDEX('1.Locations'!G2:G32,BK20 + 1)))</xm:f>
            <x14:dxf>
              <fill>
                <patternFill>
                  <bgColor indexed="10"/>
                </patternFill>
              </fill>
            </x14:dxf>
          </x14:cfRule>
          <xm:sqref>BQ20</xm:sqref>
        </x14:conditionalFormatting>
        <x14:conditionalFormatting xmlns:xm="http://schemas.microsoft.com/office/excel/2006/main">
          <x14:cfRule type="cellIs" priority="348" stopIfTrue="1" operator="lessThan" id="{A8D82280-6C62-4396-9F0B-22B7C8F7BEFA}">
            <xm:f>INDEX('1.Locations'!F2:F32,BK21 + 1)</xm:f>
            <x14:dxf>
              <fill>
                <patternFill>
                  <bgColor indexed="52"/>
                </patternFill>
              </fill>
            </x14:dxf>
          </x14:cfRule>
          <xm:sqref>BP21</xm:sqref>
        </x14:conditionalFormatting>
        <x14:conditionalFormatting xmlns:xm="http://schemas.microsoft.com/office/excel/2006/main">
          <x14:cfRule type="expression" priority="349" stopIfTrue="1" id="{B7AA91BA-D65E-4D9D-8858-D5F90E377618}">
            <xm:f>(60 * HOUR(BQ21) + MINUTE(BQ21)) &gt;(60 * HOUR(INDEX('1.Locations'!G2:G32,BK21 + 1)) +MINUTE(INDEX('1.Locations'!G2:G32,BK21 + 1)))</xm:f>
            <x14:dxf>
              <fill>
                <patternFill>
                  <bgColor indexed="10"/>
                </patternFill>
              </fill>
            </x14:dxf>
          </x14:cfRule>
          <xm:sqref>BQ21</xm:sqref>
        </x14:conditionalFormatting>
        <x14:conditionalFormatting xmlns:xm="http://schemas.microsoft.com/office/excel/2006/main">
          <x14:cfRule type="cellIs" priority="350" stopIfTrue="1" operator="lessThan" id="{D011FE15-A919-4581-82FD-EAD2FB97F6F2}">
            <xm:f>INDEX('1.Locations'!F2:F32,BK22 + 1)</xm:f>
            <x14:dxf>
              <fill>
                <patternFill>
                  <bgColor indexed="52"/>
                </patternFill>
              </fill>
            </x14:dxf>
          </x14:cfRule>
          <xm:sqref>BP22</xm:sqref>
        </x14:conditionalFormatting>
        <x14:conditionalFormatting xmlns:xm="http://schemas.microsoft.com/office/excel/2006/main">
          <x14:cfRule type="expression" priority="351" stopIfTrue="1" id="{3B8B20D8-BF2E-4A96-8C3A-E99A4EE46641}">
            <xm:f>(60 * HOUR(BQ22) + MINUTE(BQ22)) &gt;(60 * HOUR(INDEX('1.Locations'!G2:G32,BK22 + 1)) +MINUTE(INDEX('1.Locations'!G2:G32,BK22 + 1)))</xm:f>
            <x14:dxf>
              <fill>
                <patternFill>
                  <bgColor indexed="10"/>
                </patternFill>
              </fill>
            </x14:dxf>
          </x14:cfRule>
          <xm:sqref>BQ22</xm:sqref>
        </x14:conditionalFormatting>
        <x14:conditionalFormatting xmlns:xm="http://schemas.microsoft.com/office/excel/2006/main">
          <x14:cfRule type="cellIs" priority="352" stopIfTrue="1" operator="lessThan" id="{101CD501-E964-474C-9EDA-F93BECEF6E07}">
            <xm:f>INDEX('1.Locations'!F2:F32,BK23 + 1)</xm:f>
            <x14:dxf>
              <fill>
                <patternFill>
                  <bgColor indexed="52"/>
                </patternFill>
              </fill>
            </x14:dxf>
          </x14:cfRule>
          <xm:sqref>BP23</xm:sqref>
        </x14:conditionalFormatting>
        <x14:conditionalFormatting xmlns:xm="http://schemas.microsoft.com/office/excel/2006/main">
          <x14:cfRule type="expression" priority="353" stopIfTrue="1" id="{DB7ED9D0-3B97-4B45-9DAE-16EA7382BD37}">
            <xm:f>(60 * HOUR(BQ23) + MINUTE(BQ23)) &gt;(60 * HOUR(INDEX('1.Locations'!G2:G32,BK23 + 1)) +MINUTE(INDEX('1.Locations'!G2:G32,BK23 + 1)))</xm:f>
            <x14:dxf>
              <fill>
                <patternFill>
                  <bgColor indexed="10"/>
                </patternFill>
              </fill>
            </x14:dxf>
          </x14:cfRule>
          <xm:sqref>BQ23</xm:sqref>
        </x14:conditionalFormatting>
        <x14:conditionalFormatting xmlns:xm="http://schemas.microsoft.com/office/excel/2006/main">
          <x14:cfRule type="cellIs" priority="354" stopIfTrue="1" operator="lessThan" id="{63D86D58-8B1C-4B3F-BF99-CE6AE0997815}">
            <xm:f>INDEX('1.Locations'!F2:F32,BK24 + 1)</xm:f>
            <x14:dxf>
              <fill>
                <patternFill>
                  <bgColor indexed="52"/>
                </patternFill>
              </fill>
            </x14:dxf>
          </x14:cfRule>
          <xm:sqref>BP24</xm:sqref>
        </x14:conditionalFormatting>
        <x14:conditionalFormatting xmlns:xm="http://schemas.microsoft.com/office/excel/2006/main">
          <x14:cfRule type="expression" priority="355" stopIfTrue="1" id="{447BE52F-E76D-40E1-B422-9B54A25AE320}">
            <xm:f>(60 * HOUR(BQ24) + MINUTE(BQ24)) &gt;(60 * HOUR(INDEX('1.Locations'!G2:G32,BK24 + 1)) +MINUTE(INDEX('1.Locations'!G2:G32,BK24 + 1)))</xm:f>
            <x14:dxf>
              <fill>
                <patternFill>
                  <bgColor indexed="10"/>
                </patternFill>
              </fill>
            </x14:dxf>
          </x14:cfRule>
          <xm:sqref>BQ24</xm:sqref>
        </x14:conditionalFormatting>
        <x14:conditionalFormatting xmlns:xm="http://schemas.microsoft.com/office/excel/2006/main">
          <x14:cfRule type="cellIs" priority="356" stopIfTrue="1" operator="lessThan" id="{26B312CA-EE13-477D-A93C-305CCD9BB3BB}">
            <xm:f>INDEX('1.Locations'!F2:F32,BK25 + 1)</xm:f>
            <x14:dxf>
              <fill>
                <patternFill>
                  <bgColor indexed="52"/>
                </patternFill>
              </fill>
            </x14:dxf>
          </x14:cfRule>
          <xm:sqref>BP25</xm:sqref>
        </x14:conditionalFormatting>
        <x14:conditionalFormatting xmlns:xm="http://schemas.microsoft.com/office/excel/2006/main">
          <x14:cfRule type="expression" priority="357" stopIfTrue="1" id="{C5139450-9599-46B5-84CD-4DB8E9E84CFD}">
            <xm:f>(60 * HOUR(BQ25) + MINUTE(BQ25)) &gt;(60 * HOUR(INDEX('1.Locations'!G2:G32,BK25 + 1)) +MINUTE(INDEX('1.Locations'!G2:G32,BK25 + 1)))</xm:f>
            <x14:dxf>
              <fill>
                <patternFill>
                  <bgColor indexed="10"/>
                </patternFill>
              </fill>
            </x14:dxf>
          </x14:cfRule>
          <xm:sqref>BQ25</xm:sqref>
        </x14:conditionalFormatting>
        <x14:conditionalFormatting xmlns:xm="http://schemas.microsoft.com/office/excel/2006/main">
          <x14:cfRule type="cellIs" priority="358" stopIfTrue="1" operator="lessThan" id="{6D3AB88F-A84D-412E-86DC-6EA04C427027}">
            <xm:f>INDEX('1.Locations'!F2:F32,BK26 + 1)</xm:f>
            <x14:dxf>
              <fill>
                <patternFill>
                  <bgColor indexed="52"/>
                </patternFill>
              </fill>
            </x14:dxf>
          </x14:cfRule>
          <xm:sqref>BP26</xm:sqref>
        </x14:conditionalFormatting>
        <x14:conditionalFormatting xmlns:xm="http://schemas.microsoft.com/office/excel/2006/main">
          <x14:cfRule type="expression" priority="359" stopIfTrue="1" id="{EEDBC4E3-9ED9-4764-9AF8-1D2405B86D23}">
            <xm:f>(60 * HOUR(BQ26) + MINUTE(BQ26)) &gt;(60 * HOUR(INDEX('1.Locations'!G2:G32,BK26 + 1)) +MINUTE(INDEX('1.Locations'!G2:G32,BK26 + 1)))</xm:f>
            <x14:dxf>
              <fill>
                <patternFill>
                  <bgColor indexed="10"/>
                </patternFill>
              </fill>
            </x14:dxf>
          </x14:cfRule>
          <xm:sqref>BQ26</xm:sqref>
        </x14:conditionalFormatting>
        <x14:conditionalFormatting xmlns:xm="http://schemas.microsoft.com/office/excel/2006/main">
          <x14:cfRule type="cellIs" priority="360" stopIfTrue="1" operator="lessThan" id="{21FA7FB9-26F1-4B00-B731-392B656A27FB}">
            <xm:f>INDEX('1.Locations'!F2:F32,BK27 + 1)</xm:f>
            <x14:dxf>
              <fill>
                <patternFill>
                  <bgColor indexed="52"/>
                </patternFill>
              </fill>
            </x14:dxf>
          </x14:cfRule>
          <xm:sqref>BP27</xm:sqref>
        </x14:conditionalFormatting>
        <x14:conditionalFormatting xmlns:xm="http://schemas.microsoft.com/office/excel/2006/main">
          <x14:cfRule type="expression" priority="361" stopIfTrue="1" id="{1C73BA15-503C-49A8-BDF3-E0082DBF7858}">
            <xm:f>(60 * HOUR(BQ27) + MINUTE(BQ27)) &gt;(60 * HOUR(INDEX('1.Locations'!G2:G32,BK27 + 1)) +MINUTE(INDEX('1.Locations'!G2:G32,BK27 + 1)))</xm:f>
            <x14:dxf>
              <fill>
                <patternFill>
                  <bgColor indexed="10"/>
                </patternFill>
              </fill>
            </x14:dxf>
          </x14:cfRule>
          <xm:sqref>BQ27</xm:sqref>
        </x14:conditionalFormatting>
        <x14:conditionalFormatting xmlns:xm="http://schemas.microsoft.com/office/excel/2006/main">
          <x14:cfRule type="cellIs" priority="362" stopIfTrue="1" operator="lessThan" id="{CD266399-4734-4C09-AC33-5EF808408275}">
            <xm:f>INDEX('1.Locations'!F2:F32,BK28 + 1)</xm:f>
            <x14:dxf>
              <fill>
                <patternFill>
                  <bgColor indexed="52"/>
                </patternFill>
              </fill>
            </x14:dxf>
          </x14:cfRule>
          <xm:sqref>BP28</xm:sqref>
        </x14:conditionalFormatting>
        <x14:conditionalFormatting xmlns:xm="http://schemas.microsoft.com/office/excel/2006/main">
          <x14:cfRule type="expression" priority="363" stopIfTrue="1" id="{4FE18C11-86E5-41FD-A826-CA1D99931E69}">
            <xm:f>(60 * HOUR(BQ28) + MINUTE(BQ28)) &gt;(60 * HOUR(INDEX('1.Locations'!G2:G32,BK28 + 1)) +MINUTE(INDEX('1.Locations'!G2:G32,BK28 + 1)))</xm:f>
            <x14:dxf>
              <fill>
                <patternFill>
                  <bgColor indexed="10"/>
                </patternFill>
              </fill>
            </x14:dxf>
          </x14:cfRule>
          <xm:sqref>BQ28</xm:sqref>
        </x14:conditionalFormatting>
        <x14:conditionalFormatting xmlns:xm="http://schemas.microsoft.com/office/excel/2006/main">
          <x14:cfRule type="cellIs" priority="364" stopIfTrue="1" operator="lessThan" id="{D6E1B9C5-C3C1-429A-ABC6-C339D18824B2}">
            <xm:f>INDEX('1.Locations'!F2:F32,BK29 + 1)</xm:f>
            <x14:dxf>
              <fill>
                <patternFill>
                  <bgColor indexed="52"/>
                </patternFill>
              </fill>
            </x14:dxf>
          </x14:cfRule>
          <xm:sqref>BP29</xm:sqref>
        </x14:conditionalFormatting>
        <x14:conditionalFormatting xmlns:xm="http://schemas.microsoft.com/office/excel/2006/main">
          <x14:cfRule type="expression" priority="365" stopIfTrue="1" id="{55973AEF-4917-4B05-A8CA-C8CBC7F4130F}">
            <xm:f>(60 * HOUR(BQ29) + MINUTE(BQ29)) &gt;(60 * HOUR(INDEX('1.Locations'!G2:G32,BK29 + 1)) +MINUTE(INDEX('1.Locations'!G2:G32,BK29 + 1)))</xm:f>
            <x14:dxf>
              <fill>
                <patternFill>
                  <bgColor indexed="10"/>
                </patternFill>
              </fill>
            </x14:dxf>
          </x14:cfRule>
          <xm:sqref>BQ29</xm:sqref>
        </x14:conditionalFormatting>
        <x14:conditionalFormatting xmlns:xm="http://schemas.microsoft.com/office/excel/2006/main">
          <x14:cfRule type="cellIs" priority="366" stopIfTrue="1" operator="lessThan" id="{894FDE72-E79D-477C-9CC2-11E8A39D4B41}">
            <xm:f>INDEX('1.Locations'!F2:F32,BK30 + 1)</xm:f>
            <x14:dxf>
              <fill>
                <patternFill>
                  <bgColor indexed="52"/>
                </patternFill>
              </fill>
            </x14:dxf>
          </x14:cfRule>
          <xm:sqref>BP30</xm:sqref>
        </x14:conditionalFormatting>
        <x14:conditionalFormatting xmlns:xm="http://schemas.microsoft.com/office/excel/2006/main">
          <x14:cfRule type="expression" priority="367" stopIfTrue="1" id="{7BFB8974-FF51-4AA2-95FD-2B5C71FE45A0}">
            <xm:f>(60 * HOUR(BQ30) + MINUTE(BQ30)) &gt;(60 * HOUR(INDEX('1.Locations'!G2:G32,BK30 + 1)) +MINUTE(INDEX('1.Locations'!G2:G32,BK30 + 1)))</xm:f>
            <x14:dxf>
              <fill>
                <patternFill>
                  <bgColor indexed="10"/>
                </patternFill>
              </fill>
            </x14:dxf>
          </x14:cfRule>
          <xm:sqref>BQ30</xm:sqref>
        </x14:conditionalFormatting>
        <x14:conditionalFormatting xmlns:xm="http://schemas.microsoft.com/office/excel/2006/main">
          <x14:cfRule type="cellIs" priority="368" stopIfTrue="1" operator="lessThan" id="{9342B2D0-3D4D-451A-ADFC-F38EDB4F76F1}">
            <xm:f>INDEX('1.Locations'!F2:F32,BK31 + 1)</xm:f>
            <x14:dxf>
              <fill>
                <patternFill>
                  <bgColor indexed="52"/>
                </patternFill>
              </fill>
            </x14:dxf>
          </x14:cfRule>
          <xm:sqref>BP31</xm:sqref>
        </x14:conditionalFormatting>
        <x14:conditionalFormatting xmlns:xm="http://schemas.microsoft.com/office/excel/2006/main">
          <x14:cfRule type="expression" priority="369" stopIfTrue="1" id="{8B394A9E-7580-4A5B-BD03-A8D674A58203}">
            <xm:f>(60 * HOUR(BQ31) + MINUTE(BQ31)) &gt;(60 * HOUR(INDEX('1.Locations'!G2:G32,BK31 + 1)) +MINUTE(INDEX('1.Locations'!G2:G32,BK31 + 1)))</xm:f>
            <x14:dxf>
              <fill>
                <patternFill>
                  <bgColor indexed="10"/>
                </patternFill>
              </fill>
            </x14:dxf>
          </x14:cfRule>
          <xm:sqref>BQ31</xm:sqref>
        </x14:conditionalFormatting>
        <x14:conditionalFormatting xmlns:xm="http://schemas.microsoft.com/office/excel/2006/main">
          <x14:cfRule type="cellIs" priority="370" stopIfTrue="1" operator="lessThan" id="{F50BC798-18F6-4162-B31C-B0CC4AB08C27}">
            <xm:f>INDEX('1.Locations'!F2:F32,BK32 + 1)</xm:f>
            <x14:dxf>
              <fill>
                <patternFill>
                  <bgColor indexed="52"/>
                </patternFill>
              </fill>
            </x14:dxf>
          </x14:cfRule>
          <xm:sqref>BP32</xm:sqref>
        </x14:conditionalFormatting>
        <x14:conditionalFormatting xmlns:xm="http://schemas.microsoft.com/office/excel/2006/main">
          <x14:cfRule type="expression" priority="371" stopIfTrue="1" id="{C084C603-EFEA-492A-BA89-752F1355250E}">
            <xm:f>(60 * HOUR(BQ32) + MINUTE(BQ32)) &gt;(60 * HOUR(INDEX('1.Locations'!G2:G32,BK32 + 1)) +MINUTE(INDEX('1.Locations'!G2:G32,BK32 + 1)))</xm:f>
            <x14:dxf>
              <fill>
                <patternFill>
                  <bgColor indexed="10"/>
                </patternFill>
              </fill>
            </x14:dxf>
          </x14:cfRule>
          <xm:sqref>BQ32</xm:sqref>
        </x14:conditionalFormatting>
        <x14:conditionalFormatting xmlns:xm="http://schemas.microsoft.com/office/excel/2006/main">
          <x14:cfRule type="cellIs" priority="372" stopIfTrue="1" operator="lessThan" id="{B5336D3E-5C73-4A6A-AC58-04779FAEC033}">
            <xm:f>INDEX('1.Locations'!F2:F32,BK33 + 1)</xm:f>
            <x14:dxf>
              <fill>
                <patternFill>
                  <bgColor indexed="52"/>
                </patternFill>
              </fill>
            </x14:dxf>
          </x14:cfRule>
          <xm:sqref>BP33</xm:sqref>
        </x14:conditionalFormatting>
        <x14:conditionalFormatting xmlns:xm="http://schemas.microsoft.com/office/excel/2006/main">
          <x14:cfRule type="expression" priority="373" stopIfTrue="1" id="{76CAA05E-7E3B-41E8-B712-22443815F1A8}">
            <xm:f>(60 * HOUR(BQ33) + MINUTE(BQ33)) &gt;(60 * HOUR(INDEX('1.Locations'!G2:G32,BK33 + 1)) +MINUTE(INDEX('1.Locations'!G2:G32,BK33 + 1)))</xm:f>
            <x14:dxf>
              <fill>
                <patternFill>
                  <bgColor indexed="10"/>
                </patternFill>
              </fill>
            </x14:dxf>
          </x14:cfRule>
          <xm:sqref>BQ33</xm:sqref>
        </x14:conditionalFormatting>
        <x14:conditionalFormatting xmlns:xm="http://schemas.microsoft.com/office/excel/2006/main">
          <x14:cfRule type="cellIs" priority="374" stopIfTrue="1" operator="lessThan" id="{9FA39D36-D4C2-49A2-99BE-7B362E7816E7}">
            <xm:f>INDEX('1.Locations'!F2:F32,BK34 + 1)</xm:f>
            <x14:dxf>
              <fill>
                <patternFill>
                  <bgColor indexed="52"/>
                </patternFill>
              </fill>
            </x14:dxf>
          </x14:cfRule>
          <xm:sqref>BP34</xm:sqref>
        </x14:conditionalFormatting>
        <x14:conditionalFormatting xmlns:xm="http://schemas.microsoft.com/office/excel/2006/main">
          <x14:cfRule type="expression" priority="375" stopIfTrue="1" id="{E7FBD159-24DE-4D83-9942-F3D4071934A6}">
            <xm:f>(60 * HOUR(BQ34) + MINUTE(BQ34)) &gt;(60 * HOUR(INDEX('1.Locations'!G2:G32,BK34 + 1)) +MINUTE(INDEX('1.Locations'!G2:G32,BK34 + 1)))</xm:f>
            <x14:dxf>
              <fill>
                <patternFill>
                  <bgColor indexed="10"/>
                </patternFill>
              </fill>
            </x14:dxf>
          </x14:cfRule>
          <xm:sqref>BQ34</xm:sqref>
        </x14:conditionalFormatting>
        <x14:conditionalFormatting xmlns:xm="http://schemas.microsoft.com/office/excel/2006/main">
          <x14:cfRule type="cellIs" priority="376" stopIfTrue="1" operator="lessThan" id="{49388E22-6EE3-4027-B043-ABC1E936AD02}">
            <xm:f>INDEX('1.Locations'!F2:F32,BK35 + 1)</xm:f>
            <x14:dxf>
              <fill>
                <patternFill>
                  <bgColor indexed="52"/>
                </patternFill>
              </fill>
            </x14:dxf>
          </x14:cfRule>
          <xm:sqref>BP35</xm:sqref>
        </x14:conditionalFormatting>
        <x14:conditionalFormatting xmlns:xm="http://schemas.microsoft.com/office/excel/2006/main">
          <x14:cfRule type="expression" priority="377" stopIfTrue="1" id="{114BFD7E-4CCB-48F0-AC00-6EA863F4C556}">
            <xm:f>(60 * HOUR(BQ35) + MINUTE(BQ35)) &gt;(60 * HOUR(INDEX('1.Locations'!G2:G32,BK35 + 1)) +MINUTE(INDEX('1.Locations'!G2:G32,BK35 + 1)))</xm:f>
            <x14:dxf>
              <fill>
                <patternFill>
                  <bgColor indexed="10"/>
                </patternFill>
              </fill>
            </x14:dxf>
          </x14:cfRule>
          <xm:sqref>BQ35</xm:sqref>
        </x14:conditionalFormatting>
        <x14:conditionalFormatting xmlns:xm="http://schemas.microsoft.com/office/excel/2006/main">
          <x14:cfRule type="cellIs" priority="378" stopIfTrue="1" operator="lessThan" id="{EC986647-C0DA-4464-9FA8-EDB66296F6A3}">
            <xm:f>INDEX('1.Locations'!F2:F32,BK36 + 1)</xm:f>
            <x14:dxf>
              <fill>
                <patternFill>
                  <bgColor indexed="52"/>
                </patternFill>
              </fill>
            </x14:dxf>
          </x14:cfRule>
          <xm:sqref>BP36</xm:sqref>
        </x14:conditionalFormatting>
        <x14:conditionalFormatting xmlns:xm="http://schemas.microsoft.com/office/excel/2006/main">
          <x14:cfRule type="expression" priority="379" stopIfTrue="1" id="{02868816-FFD8-417B-8B99-33D95A2B1612}">
            <xm:f>(60 * HOUR(BQ36) + MINUTE(BQ36)) &gt;(60 * HOUR(INDEX('1.Locations'!G2:G32,BK36 + 1)) +MINUTE(INDEX('1.Locations'!G2:G32,BK36 + 1)))</xm:f>
            <x14:dxf>
              <fill>
                <patternFill>
                  <bgColor indexed="10"/>
                </patternFill>
              </fill>
            </x14:dxf>
          </x14:cfRule>
          <xm:sqref>BQ36</xm:sqref>
        </x14:conditionalFormatting>
        <x14:conditionalFormatting xmlns:xm="http://schemas.microsoft.com/office/excel/2006/main">
          <x14:cfRule type="cellIs" priority="380" stopIfTrue="1" operator="greaterThan" id="{95A43FAF-0A6D-424B-8794-9C41CAE8BBA8}">
            <xm:f>'3.Vehicles'!$F$2</xm:f>
            <x14:dxf>
              <fill>
                <patternFill>
                  <bgColor indexed="10"/>
                </patternFill>
              </fill>
            </x14:dxf>
          </x14:cfRule>
          <xm:sqref>BN6:BN36</xm:sqref>
        </x14:conditionalFormatting>
        <x14:conditionalFormatting xmlns:xm="http://schemas.microsoft.com/office/excel/2006/main">
          <x14:cfRule type="cellIs" priority="381" stopIfTrue="1" operator="greaterThan" id="{57690479-7EFA-41E1-AB75-031A3D2D8426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BV5:BV36</xm:sqref>
        </x14:conditionalFormatting>
        <x14:conditionalFormatting xmlns:xm="http://schemas.microsoft.com/office/excel/2006/main">
          <x14:cfRule type="cellIs" priority="383" stopIfTrue="1" operator="greaterThan" id="{1FD1374A-7D54-4EF3-B7CB-C90E0E3678E6}">
            <xm:f>'3.Vehicles'!$H$2</xm:f>
            <x14:dxf>
              <fill>
                <patternFill>
                  <bgColor indexed="10"/>
                </patternFill>
              </fill>
            </x14:dxf>
          </x14:cfRule>
          <xm:sqref>BO6:BO36</xm:sqref>
        </x14:conditionalFormatting>
        <x14:conditionalFormatting xmlns:xm="http://schemas.microsoft.com/office/excel/2006/main">
          <x14:cfRule type="cellIs" priority="384" stopIfTrue="1" operator="greaterThan" id="{114D1EA6-ED4A-462E-BE53-506F0EDC36D2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BR6:BR36</xm:sqref>
        </x14:conditionalFormatting>
        <x14:conditionalFormatting xmlns:xm="http://schemas.microsoft.com/office/excel/2006/main">
          <x14:cfRule type="expression" priority="386" stopIfTrue="1" id="{76630E33-3DBC-4009-A19C-AD1931DB8DF0}">
            <xm:f>(60 * HOUR(CF5) + MINUTE(CF5)) &gt;(60 * HOUR(INDEX('1.Locations'!G2:G32,BZ5 + 1)) +MINUTE(INDEX('1.Locations'!G2:G32,BZ5 + 1)))</xm:f>
            <x14:dxf>
              <fill>
                <patternFill>
                  <bgColor indexed="10"/>
                </patternFill>
              </fill>
            </x14:dxf>
          </x14:cfRule>
          <xm:sqref>CF5</xm:sqref>
        </x14:conditionalFormatting>
        <x14:conditionalFormatting xmlns:xm="http://schemas.microsoft.com/office/excel/2006/main">
          <x14:cfRule type="cellIs" priority="387" stopIfTrue="1" operator="lessThan" id="{17D063C4-07E6-4CC1-B58E-C24B86A9FA7C}">
            <xm:f>INDEX('1.Locations'!F2:F32,BZ6 + 1)</xm:f>
            <x14:dxf>
              <fill>
                <patternFill>
                  <bgColor indexed="52"/>
                </patternFill>
              </fill>
            </x14:dxf>
          </x14:cfRule>
          <xm:sqref>CE6</xm:sqref>
        </x14:conditionalFormatting>
        <x14:conditionalFormatting xmlns:xm="http://schemas.microsoft.com/office/excel/2006/main">
          <x14:cfRule type="expression" priority="388" stopIfTrue="1" id="{7C7EF44C-C6EC-47B6-B14E-31D77BC74E10}">
            <xm:f>(60 * HOUR(CF6) + MINUTE(CF6)) &gt;(60 * HOUR(INDEX('1.Locations'!G2:G32,BZ6 + 1)) +MINUTE(INDEX('1.Locations'!G2:G32,BZ6 + 1)))</xm:f>
            <x14:dxf>
              <fill>
                <patternFill>
                  <bgColor indexed="10"/>
                </patternFill>
              </fill>
            </x14:dxf>
          </x14:cfRule>
          <xm:sqref>CF6</xm:sqref>
        </x14:conditionalFormatting>
        <x14:conditionalFormatting xmlns:xm="http://schemas.microsoft.com/office/excel/2006/main">
          <x14:cfRule type="cellIs" priority="389" stopIfTrue="1" operator="lessThan" id="{661C7420-62AE-409E-86CA-376D1C9E0CA1}">
            <xm:f>INDEX('1.Locations'!F2:F32,BZ7 + 1)</xm:f>
            <x14:dxf>
              <fill>
                <patternFill>
                  <bgColor indexed="52"/>
                </patternFill>
              </fill>
            </x14:dxf>
          </x14:cfRule>
          <xm:sqref>CE7</xm:sqref>
        </x14:conditionalFormatting>
        <x14:conditionalFormatting xmlns:xm="http://schemas.microsoft.com/office/excel/2006/main">
          <x14:cfRule type="expression" priority="390" stopIfTrue="1" id="{3B59B6C0-6CCA-4E29-B38B-50680F9D887A}">
            <xm:f>(60 * HOUR(CF7) + MINUTE(CF7)) &gt;(60 * HOUR(INDEX('1.Locations'!G2:G32,BZ7 + 1)) +MINUTE(INDEX('1.Locations'!G2:G32,BZ7 + 1)))</xm:f>
            <x14:dxf>
              <fill>
                <patternFill>
                  <bgColor indexed="10"/>
                </patternFill>
              </fill>
            </x14:dxf>
          </x14:cfRule>
          <xm:sqref>CF7</xm:sqref>
        </x14:conditionalFormatting>
        <x14:conditionalFormatting xmlns:xm="http://schemas.microsoft.com/office/excel/2006/main">
          <x14:cfRule type="cellIs" priority="391" stopIfTrue="1" operator="lessThan" id="{95CD405A-CE20-4F42-8D0B-98EC52DE1A98}">
            <xm:f>INDEX('1.Locations'!F2:F32,BZ8 + 1)</xm:f>
            <x14:dxf>
              <fill>
                <patternFill>
                  <bgColor indexed="52"/>
                </patternFill>
              </fill>
            </x14:dxf>
          </x14:cfRule>
          <xm:sqref>CE8</xm:sqref>
        </x14:conditionalFormatting>
        <x14:conditionalFormatting xmlns:xm="http://schemas.microsoft.com/office/excel/2006/main">
          <x14:cfRule type="expression" priority="392" stopIfTrue="1" id="{B12B364A-4BA2-4898-9565-57D9C580E66C}">
            <xm:f>(60 * HOUR(CF8) + MINUTE(CF8)) &gt;(60 * HOUR(INDEX('1.Locations'!G2:G32,BZ8 + 1)) +MINUTE(INDEX('1.Locations'!G2:G32,BZ8 + 1)))</xm:f>
            <x14:dxf>
              <fill>
                <patternFill>
                  <bgColor indexed="10"/>
                </patternFill>
              </fill>
            </x14:dxf>
          </x14:cfRule>
          <xm:sqref>CF8</xm:sqref>
        </x14:conditionalFormatting>
        <x14:conditionalFormatting xmlns:xm="http://schemas.microsoft.com/office/excel/2006/main">
          <x14:cfRule type="cellIs" priority="393" stopIfTrue="1" operator="lessThan" id="{8F6AF665-2578-4EFA-BAFA-912214CE219C}">
            <xm:f>INDEX('1.Locations'!F2:F32,BZ9 + 1)</xm:f>
            <x14:dxf>
              <fill>
                <patternFill>
                  <bgColor indexed="52"/>
                </patternFill>
              </fill>
            </x14:dxf>
          </x14:cfRule>
          <xm:sqref>CE9</xm:sqref>
        </x14:conditionalFormatting>
        <x14:conditionalFormatting xmlns:xm="http://schemas.microsoft.com/office/excel/2006/main">
          <x14:cfRule type="expression" priority="394" stopIfTrue="1" id="{AAAD9DF8-F85B-439D-8AE5-17F9C1DD7272}">
            <xm:f>(60 * HOUR(CF9) + MINUTE(CF9)) &gt;(60 * HOUR(INDEX('1.Locations'!G2:G32,BZ9 + 1)) +MINUTE(INDEX('1.Locations'!G2:G32,BZ9 + 1)))</xm:f>
            <x14:dxf>
              <fill>
                <patternFill>
                  <bgColor indexed="10"/>
                </patternFill>
              </fill>
            </x14:dxf>
          </x14:cfRule>
          <xm:sqref>CF9</xm:sqref>
        </x14:conditionalFormatting>
        <x14:conditionalFormatting xmlns:xm="http://schemas.microsoft.com/office/excel/2006/main">
          <x14:cfRule type="cellIs" priority="395" stopIfTrue="1" operator="lessThan" id="{34CA7B2B-9AC8-4D95-9FCC-322D03BEBCB2}">
            <xm:f>INDEX('1.Locations'!F2:F32,BZ10 + 1)</xm:f>
            <x14:dxf>
              <fill>
                <patternFill>
                  <bgColor indexed="52"/>
                </patternFill>
              </fill>
            </x14:dxf>
          </x14:cfRule>
          <xm:sqref>CE10</xm:sqref>
        </x14:conditionalFormatting>
        <x14:conditionalFormatting xmlns:xm="http://schemas.microsoft.com/office/excel/2006/main">
          <x14:cfRule type="expression" priority="396" stopIfTrue="1" id="{B56490A7-12C4-4000-B6F4-809A06E817AC}">
            <xm:f>(60 * HOUR(CF10) + MINUTE(CF10)) &gt;(60 * HOUR(INDEX('1.Locations'!G2:G32,BZ10 + 1)) +MINUTE(INDEX('1.Locations'!G2:G32,BZ10 + 1)))</xm:f>
            <x14:dxf>
              <fill>
                <patternFill>
                  <bgColor indexed="10"/>
                </patternFill>
              </fill>
            </x14:dxf>
          </x14:cfRule>
          <xm:sqref>CF10</xm:sqref>
        </x14:conditionalFormatting>
        <x14:conditionalFormatting xmlns:xm="http://schemas.microsoft.com/office/excel/2006/main">
          <x14:cfRule type="cellIs" priority="397" stopIfTrue="1" operator="lessThan" id="{9206FC41-F617-46C9-B2B8-8D03C7B4D6A4}">
            <xm:f>INDEX('1.Locations'!F2:F32,BZ11 + 1)</xm:f>
            <x14:dxf>
              <fill>
                <patternFill>
                  <bgColor indexed="52"/>
                </patternFill>
              </fill>
            </x14:dxf>
          </x14:cfRule>
          <xm:sqref>CE11</xm:sqref>
        </x14:conditionalFormatting>
        <x14:conditionalFormatting xmlns:xm="http://schemas.microsoft.com/office/excel/2006/main">
          <x14:cfRule type="expression" priority="398" stopIfTrue="1" id="{9812F4A2-9F07-489F-B5CB-DF86BA15B668}">
            <xm:f>(60 * HOUR(CF11) + MINUTE(CF11)) &gt;(60 * HOUR(INDEX('1.Locations'!G2:G32,BZ11 + 1)) +MINUTE(INDEX('1.Locations'!G2:G32,BZ11 + 1)))</xm:f>
            <x14:dxf>
              <fill>
                <patternFill>
                  <bgColor indexed="10"/>
                </patternFill>
              </fill>
            </x14:dxf>
          </x14:cfRule>
          <xm:sqref>CF11</xm:sqref>
        </x14:conditionalFormatting>
        <x14:conditionalFormatting xmlns:xm="http://schemas.microsoft.com/office/excel/2006/main">
          <x14:cfRule type="cellIs" priority="399" stopIfTrue="1" operator="lessThan" id="{31C98A0C-B073-44DE-AA03-7BAB7E4DDDEE}">
            <xm:f>INDEX('1.Locations'!F2:F32,BZ12 + 1)</xm:f>
            <x14:dxf>
              <fill>
                <patternFill>
                  <bgColor indexed="52"/>
                </patternFill>
              </fill>
            </x14:dxf>
          </x14:cfRule>
          <xm:sqref>CE12</xm:sqref>
        </x14:conditionalFormatting>
        <x14:conditionalFormatting xmlns:xm="http://schemas.microsoft.com/office/excel/2006/main">
          <x14:cfRule type="expression" priority="400" stopIfTrue="1" id="{B8C963C2-FA8C-42CC-BA0C-BF80A1BA55D8}">
            <xm:f>(60 * HOUR(CF12) + MINUTE(CF12)) &gt;(60 * HOUR(INDEX('1.Locations'!G2:G32,BZ12 + 1)) +MINUTE(INDEX('1.Locations'!G2:G32,BZ12 + 1)))</xm:f>
            <x14:dxf>
              <fill>
                <patternFill>
                  <bgColor indexed="10"/>
                </patternFill>
              </fill>
            </x14:dxf>
          </x14:cfRule>
          <xm:sqref>CF12</xm:sqref>
        </x14:conditionalFormatting>
        <x14:conditionalFormatting xmlns:xm="http://schemas.microsoft.com/office/excel/2006/main">
          <x14:cfRule type="cellIs" priority="401" stopIfTrue="1" operator="lessThan" id="{7BE1230C-7814-4498-81CB-39D0DFEA0B92}">
            <xm:f>INDEX('1.Locations'!F2:F32,BZ13 + 1)</xm:f>
            <x14:dxf>
              <fill>
                <patternFill>
                  <bgColor indexed="52"/>
                </patternFill>
              </fill>
            </x14:dxf>
          </x14:cfRule>
          <xm:sqref>CE13</xm:sqref>
        </x14:conditionalFormatting>
        <x14:conditionalFormatting xmlns:xm="http://schemas.microsoft.com/office/excel/2006/main">
          <x14:cfRule type="expression" priority="402" stopIfTrue="1" id="{21F583ED-753B-4DF2-89F7-7DA534E1B6E3}">
            <xm:f>(60 * HOUR(CF13) + MINUTE(CF13)) &gt;(60 * HOUR(INDEX('1.Locations'!G2:G32,BZ13 + 1)) +MINUTE(INDEX('1.Locations'!G2:G32,BZ13 + 1)))</xm:f>
            <x14:dxf>
              <fill>
                <patternFill>
                  <bgColor indexed="10"/>
                </patternFill>
              </fill>
            </x14:dxf>
          </x14:cfRule>
          <xm:sqref>CF13</xm:sqref>
        </x14:conditionalFormatting>
        <x14:conditionalFormatting xmlns:xm="http://schemas.microsoft.com/office/excel/2006/main">
          <x14:cfRule type="cellIs" priority="403" stopIfTrue="1" operator="lessThan" id="{7E473391-37CF-4451-BC66-6BBC9B3FCD28}">
            <xm:f>INDEX('1.Locations'!F2:F32,BZ14 + 1)</xm:f>
            <x14:dxf>
              <fill>
                <patternFill>
                  <bgColor indexed="52"/>
                </patternFill>
              </fill>
            </x14:dxf>
          </x14:cfRule>
          <xm:sqref>CE14</xm:sqref>
        </x14:conditionalFormatting>
        <x14:conditionalFormatting xmlns:xm="http://schemas.microsoft.com/office/excel/2006/main">
          <x14:cfRule type="expression" priority="404" stopIfTrue="1" id="{2816DE52-2C99-4E66-8561-18480B721875}">
            <xm:f>(60 * HOUR(CF14) + MINUTE(CF14)) &gt;(60 * HOUR(INDEX('1.Locations'!G2:G32,BZ14 + 1)) +MINUTE(INDEX('1.Locations'!G2:G32,BZ14 + 1)))</xm:f>
            <x14:dxf>
              <fill>
                <patternFill>
                  <bgColor indexed="10"/>
                </patternFill>
              </fill>
            </x14:dxf>
          </x14:cfRule>
          <xm:sqref>CF14</xm:sqref>
        </x14:conditionalFormatting>
        <x14:conditionalFormatting xmlns:xm="http://schemas.microsoft.com/office/excel/2006/main">
          <x14:cfRule type="cellIs" priority="405" stopIfTrue="1" operator="lessThan" id="{BC77F8D4-1DE2-4767-B78A-FB4F2CEFC9BA}">
            <xm:f>INDEX('1.Locations'!F2:F32,BZ15 + 1)</xm:f>
            <x14:dxf>
              <fill>
                <patternFill>
                  <bgColor indexed="52"/>
                </patternFill>
              </fill>
            </x14:dxf>
          </x14:cfRule>
          <xm:sqref>CE15</xm:sqref>
        </x14:conditionalFormatting>
        <x14:conditionalFormatting xmlns:xm="http://schemas.microsoft.com/office/excel/2006/main">
          <x14:cfRule type="expression" priority="406" stopIfTrue="1" id="{452A7825-485F-4A1A-B30D-3AC7C184C559}">
            <xm:f>(60 * HOUR(CF15) + MINUTE(CF15)) &gt;(60 * HOUR(INDEX('1.Locations'!G2:G32,BZ15 + 1)) +MINUTE(INDEX('1.Locations'!G2:G32,BZ15 + 1)))</xm:f>
            <x14:dxf>
              <fill>
                <patternFill>
                  <bgColor indexed="10"/>
                </patternFill>
              </fill>
            </x14:dxf>
          </x14:cfRule>
          <xm:sqref>CF15</xm:sqref>
        </x14:conditionalFormatting>
        <x14:conditionalFormatting xmlns:xm="http://schemas.microsoft.com/office/excel/2006/main">
          <x14:cfRule type="cellIs" priority="407" stopIfTrue="1" operator="lessThan" id="{0A0C902D-5E9F-4BC6-B4D8-79749ED59200}">
            <xm:f>INDEX('1.Locations'!F2:F32,BZ16 + 1)</xm:f>
            <x14:dxf>
              <fill>
                <patternFill>
                  <bgColor indexed="52"/>
                </patternFill>
              </fill>
            </x14:dxf>
          </x14:cfRule>
          <xm:sqref>CE16</xm:sqref>
        </x14:conditionalFormatting>
        <x14:conditionalFormatting xmlns:xm="http://schemas.microsoft.com/office/excel/2006/main">
          <x14:cfRule type="expression" priority="408" stopIfTrue="1" id="{AE53388E-F29D-478C-986A-D5F65055C7C8}">
            <xm:f>(60 * HOUR(CF16) + MINUTE(CF16)) &gt;(60 * HOUR(INDEX('1.Locations'!G2:G32,BZ16 + 1)) +MINUTE(INDEX('1.Locations'!G2:G32,BZ16 + 1)))</xm:f>
            <x14:dxf>
              <fill>
                <patternFill>
                  <bgColor indexed="10"/>
                </patternFill>
              </fill>
            </x14:dxf>
          </x14:cfRule>
          <xm:sqref>CF16</xm:sqref>
        </x14:conditionalFormatting>
        <x14:conditionalFormatting xmlns:xm="http://schemas.microsoft.com/office/excel/2006/main">
          <x14:cfRule type="cellIs" priority="409" stopIfTrue="1" operator="lessThan" id="{F2699CE3-AB39-40A6-BB46-0D6120D79630}">
            <xm:f>INDEX('1.Locations'!F2:F32,BZ17 + 1)</xm:f>
            <x14:dxf>
              <fill>
                <patternFill>
                  <bgColor indexed="52"/>
                </patternFill>
              </fill>
            </x14:dxf>
          </x14:cfRule>
          <xm:sqref>CE17</xm:sqref>
        </x14:conditionalFormatting>
        <x14:conditionalFormatting xmlns:xm="http://schemas.microsoft.com/office/excel/2006/main">
          <x14:cfRule type="expression" priority="410" stopIfTrue="1" id="{D0F078A1-FA9B-4464-8AF7-9A197548450E}">
            <xm:f>(60 * HOUR(CF17) + MINUTE(CF17)) &gt;(60 * HOUR(INDEX('1.Locations'!G2:G32,BZ17 + 1)) +MINUTE(INDEX('1.Locations'!G2:G32,BZ17 + 1)))</xm:f>
            <x14:dxf>
              <fill>
                <patternFill>
                  <bgColor indexed="10"/>
                </patternFill>
              </fill>
            </x14:dxf>
          </x14:cfRule>
          <xm:sqref>CF17</xm:sqref>
        </x14:conditionalFormatting>
        <x14:conditionalFormatting xmlns:xm="http://schemas.microsoft.com/office/excel/2006/main">
          <x14:cfRule type="cellIs" priority="411" stopIfTrue="1" operator="lessThan" id="{19ED9546-E596-4D3C-AF47-693126928AAC}">
            <xm:f>INDEX('1.Locations'!F2:F32,BZ18 + 1)</xm:f>
            <x14:dxf>
              <fill>
                <patternFill>
                  <bgColor indexed="52"/>
                </patternFill>
              </fill>
            </x14:dxf>
          </x14:cfRule>
          <xm:sqref>CE18</xm:sqref>
        </x14:conditionalFormatting>
        <x14:conditionalFormatting xmlns:xm="http://schemas.microsoft.com/office/excel/2006/main">
          <x14:cfRule type="expression" priority="412" stopIfTrue="1" id="{EC3DDE52-639A-445D-B8EE-36BDF3267952}">
            <xm:f>(60 * HOUR(CF18) + MINUTE(CF18)) &gt;(60 * HOUR(INDEX('1.Locations'!G2:G32,BZ18 + 1)) +MINUTE(INDEX('1.Locations'!G2:G32,BZ18 + 1)))</xm:f>
            <x14:dxf>
              <fill>
                <patternFill>
                  <bgColor indexed="10"/>
                </patternFill>
              </fill>
            </x14:dxf>
          </x14:cfRule>
          <xm:sqref>CF18</xm:sqref>
        </x14:conditionalFormatting>
        <x14:conditionalFormatting xmlns:xm="http://schemas.microsoft.com/office/excel/2006/main">
          <x14:cfRule type="cellIs" priority="413" stopIfTrue="1" operator="lessThan" id="{7F94ACEA-AF05-483B-853B-748DBF357C11}">
            <xm:f>INDEX('1.Locations'!F2:F32,BZ19 + 1)</xm:f>
            <x14:dxf>
              <fill>
                <patternFill>
                  <bgColor indexed="52"/>
                </patternFill>
              </fill>
            </x14:dxf>
          </x14:cfRule>
          <xm:sqref>CE19</xm:sqref>
        </x14:conditionalFormatting>
        <x14:conditionalFormatting xmlns:xm="http://schemas.microsoft.com/office/excel/2006/main">
          <x14:cfRule type="expression" priority="414" stopIfTrue="1" id="{DE7941B5-27AC-4F69-BCE1-26057E04F92A}">
            <xm:f>(60 * HOUR(CF19) + MINUTE(CF19)) &gt;(60 * HOUR(INDEX('1.Locations'!G2:G32,BZ19 + 1)) +MINUTE(INDEX('1.Locations'!G2:G32,BZ19 + 1)))</xm:f>
            <x14:dxf>
              <fill>
                <patternFill>
                  <bgColor indexed="10"/>
                </patternFill>
              </fill>
            </x14:dxf>
          </x14:cfRule>
          <xm:sqref>CF19</xm:sqref>
        </x14:conditionalFormatting>
        <x14:conditionalFormatting xmlns:xm="http://schemas.microsoft.com/office/excel/2006/main">
          <x14:cfRule type="cellIs" priority="415" stopIfTrue="1" operator="lessThan" id="{1C8260BE-3E1F-4727-9869-1258E3E24BF7}">
            <xm:f>INDEX('1.Locations'!F2:F32,BZ20 + 1)</xm:f>
            <x14:dxf>
              <fill>
                <patternFill>
                  <bgColor indexed="52"/>
                </patternFill>
              </fill>
            </x14:dxf>
          </x14:cfRule>
          <xm:sqref>CE20</xm:sqref>
        </x14:conditionalFormatting>
        <x14:conditionalFormatting xmlns:xm="http://schemas.microsoft.com/office/excel/2006/main">
          <x14:cfRule type="expression" priority="416" stopIfTrue="1" id="{EE9665FE-D17C-412C-9B4B-50B8DB43B7A4}">
            <xm:f>(60 * HOUR(CF20) + MINUTE(CF20)) &gt;(60 * HOUR(INDEX('1.Locations'!G2:G32,BZ20 + 1)) +MINUTE(INDEX('1.Locations'!G2:G32,BZ20 + 1)))</xm:f>
            <x14:dxf>
              <fill>
                <patternFill>
                  <bgColor indexed="10"/>
                </patternFill>
              </fill>
            </x14:dxf>
          </x14:cfRule>
          <xm:sqref>CF20</xm:sqref>
        </x14:conditionalFormatting>
        <x14:conditionalFormatting xmlns:xm="http://schemas.microsoft.com/office/excel/2006/main">
          <x14:cfRule type="cellIs" priority="417" stopIfTrue="1" operator="lessThan" id="{E5B7F4B6-0A93-4C98-A181-8E5FAC3F1350}">
            <xm:f>INDEX('1.Locations'!F2:F32,BZ21 + 1)</xm:f>
            <x14:dxf>
              <fill>
                <patternFill>
                  <bgColor indexed="52"/>
                </patternFill>
              </fill>
            </x14:dxf>
          </x14:cfRule>
          <xm:sqref>CE21</xm:sqref>
        </x14:conditionalFormatting>
        <x14:conditionalFormatting xmlns:xm="http://schemas.microsoft.com/office/excel/2006/main">
          <x14:cfRule type="expression" priority="418" stopIfTrue="1" id="{7D191C12-872F-4C9A-8D26-233AB02322B7}">
            <xm:f>(60 * HOUR(CF21) + MINUTE(CF21)) &gt;(60 * HOUR(INDEX('1.Locations'!G2:G32,BZ21 + 1)) +MINUTE(INDEX('1.Locations'!G2:G32,BZ21 + 1)))</xm:f>
            <x14:dxf>
              <fill>
                <patternFill>
                  <bgColor indexed="10"/>
                </patternFill>
              </fill>
            </x14:dxf>
          </x14:cfRule>
          <xm:sqref>CF21</xm:sqref>
        </x14:conditionalFormatting>
        <x14:conditionalFormatting xmlns:xm="http://schemas.microsoft.com/office/excel/2006/main">
          <x14:cfRule type="cellIs" priority="419" stopIfTrue="1" operator="lessThan" id="{887FBF80-74F9-4461-8310-80DDB593AF1D}">
            <xm:f>INDEX('1.Locations'!F2:F32,BZ22 + 1)</xm:f>
            <x14:dxf>
              <fill>
                <patternFill>
                  <bgColor indexed="52"/>
                </patternFill>
              </fill>
            </x14:dxf>
          </x14:cfRule>
          <xm:sqref>CE22</xm:sqref>
        </x14:conditionalFormatting>
        <x14:conditionalFormatting xmlns:xm="http://schemas.microsoft.com/office/excel/2006/main">
          <x14:cfRule type="expression" priority="420" stopIfTrue="1" id="{90BACBF5-ADE8-41A5-A6D6-F2D6555F9C13}">
            <xm:f>(60 * HOUR(CF22) + MINUTE(CF22)) &gt;(60 * HOUR(INDEX('1.Locations'!G2:G32,BZ22 + 1)) +MINUTE(INDEX('1.Locations'!G2:G32,BZ22 + 1)))</xm:f>
            <x14:dxf>
              <fill>
                <patternFill>
                  <bgColor indexed="10"/>
                </patternFill>
              </fill>
            </x14:dxf>
          </x14:cfRule>
          <xm:sqref>CF22</xm:sqref>
        </x14:conditionalFormatting>
        <x14:conditionalFormatting xmlns:xm="http://schemas.microsoft.com/office/excel/2006/main">
          <x14:cfRule type="cellIs" priority="421" stopIfTrue="1" operator="lessThan" id="{4464FD55-EAB4-422D-80E8-E1FEDB095628}">
            <xm:f>INDEX('1.Locations'!F2:F32,BZ23 + 1)</xm:f>
            <x14:dxf>
              <fill>
                <patternFill>
                  <bgColor indexed="52"/>
                </patternFill>
              </fill>
            </x14:dxf>
          </x14:cfRule>
          <xm:sqref>CE23</xm:sqref>
        </x14:conditionalFormatting>
        <x14:conditionalFormatting xmlns:xm="http://schemas.microsoft.com/office/excel/2006/main">
          <x14:cfRule type="expression" priority="422" stopIfTrue="1" id="{1663DD72-CC53-418F-8793-BD91D13D59D7}">
            <xm:f>(60 * HOUR(CF23) + MINUTE(CF23)) &gt;(60 * HOUR(INDEX('1.Locations'!G2:G32,BZ23 + 1)) +MINUTE(INDEX('1.Locations'!G2:G32,BZ23 + 1)))</xm:f>
            <x14:dxf>
              <fill>
                <patternFill>
                  <bgColor indexed="10"/>
                </patternFill>
              </fill>
            </x14:dxf>
          </x14:cfRule>
          <xm:sqref>CF23</xm:sqref>
        </x14:conditionalFormatting>
        <x14:conditionalFormatting xmlns:xm="http://schemas.microsoft.com/office/excel/2006/main">
          <x14:cfRule type="cellIs" priority="423" stopIfTrue="1" operator="lessThan" id="{6FC2F700-2FFD-4B6B-96AF-DC9070BA3975}">
            <xm:f>INDEX('1.Locations'!F2:F32,BZ24 + 1)</xm:f>
            <x14:dxf>
              <fill>
                <patternFill>
                  <bgColor indexed="52"/>
                </patternFill>
              </fill>
            </x14:dxf>
          </x14:cfRule>
          <xm:sqref>CE24</xm:sqref>
        </x14:conditionalFormatting>
        <x14:conditionalFormatting xmlns:xm="http://schemas.microsoft.com/office/excel/2006/main">
          <x14:cfRule type="expression" priority="424" stopIfTrue="1" id="{ECEE377C-FA35-44DD-8539-3704387C212F}">
            <xm:f>(60 * HOUR(CF24) + MINUTE(CF24)) &gt;(60 * HOUR(INDEX('1.Locations'!G2:G32,BZ24 + 1)) +MINUTE(INDEX('1.Locations'!G2:G32,BZ24 + 1)))</xm:f>
            <x14:dxf>
              <fill>
                <patternFill>
                  <bgColor indexed="10"/>
                </patternFill>
              </fill>
            </x14:dxf>
          </x14:cfRule>
          <xm:sqref>CF24</xm:sqref>
        </x14:conditionalFormatting>
        <x14:conditionalFormatting xmlns:xm="http://schemas.microsoft.com/office/excel/2006/main">
          <x14:cfRule type="cellIs" priority="425" stopIfTrue="1" operator="lessThan" id="{7B2EED70-E0C9-4E1B-9AFB-DFEE44FD599E}">
            <xm:f>INDEX('1.Locations'!F2:F32,BZ25 + 1)</xm:f>
            <x14:dxf>
              <fill>
                <patternFill>
                  <bgColor indexed="52"/>
                </patternFill>
              </fill>
            </x14:dxf>
          </x14:cfRule>
          <xm:sqref>CE25</xm:sqref>
        </x14:conditionalFormatting>
        <x14:conditionalFormatting xmlns:xm="http://schemas.microsoft.com/office/excel/2006/main">
          <x14:cfRule type="expression" priority="426" stopIfTrue="1" id="{DC9D8AE4-E736-44CE-84B7-E1FDBA385606}">
            <xm:f>(60 * HOUR(CF25) + MINUTE(CF25)) &gt;(60 * HOUR(INDEX('1.Locations'!G2:G32,BZ25 + 1)) +MINUTE(INDEX('1.Locations'!G2:G32,BZ25 + 1)))</xm:f>
            <x14:dxf>
              <fill>
                <patternFill>
                  <bgColor indexed="10"/>
                </patternFill>
              </fill>
            </x14:dxf>
          </x14:cfRule>
          <xm:sqref>CF25</xm:sqref>
        </x14:conditionalFormatting>
        <x14:conditionalFormatting xmlns:xm="http://schemas.microsoft.com/office/excel/2006/main">
          <x14:cfRule type="cellIs" priority="427" stopIfTrue="1" operator="lessThan" id="{8CB55E67-E605-41DE-A0DC-A2F72AE8492A}">
            <xm:f>INDEX('1.Locations'!F2:F32,BZ26 + 1)</xm:f>
            <x14:dxf>
              <fill>
                <patternFill>
                  <bgColor indexed="52"/>
                </patternFill>
              </fill>
            </x14:dxf>
          </x14:cfRule>
          <xm:sqref>CE26</xm:sqref>
        </x14:conditionalFormatting>
        <x14:conditionalFormatting xmlns:xm="http://schemas.microsoft.com/office/excel/2006/main">
          <x14:cfRule type="expression" priority="428" stopIfTrue="1" id="{A54051A7-59BC-4825-BEC5-BA333C20B82D}">
            <xm:f>(60 * HOUR(CF26) + MINUTE(CF26)) &gt;(60 * HOUR(INDEX('1.Locations'!G2:G32,BZ26 + 1)) +MINUTE(INDEX('1.Locations'!G2:G32,BZ26 + 1)))</xm:f>
            <x14:dxf>
              <fill>
                <patternFill>
                  <bgColor indexed="10"/>
                </patternFill>
              </fill>
            </x14:dxf>
          </x14:cfRule>
          <xm:sqref>CF26</xm:sqref>
        </x14:conditionalFormatting>
        <x14:conditionalFormatting xmlns:xm="http://schemas.microsoft.com/office/excel/2006/main">
          <x14:cfRule type="cellIs" priority="429" stopIfTrue="1" operator="lessThan" id="{1324765B-62D4-404C-8DA0-2CC8F349D132}">
            <xm:f>INDEX('1.Locations'!F2:F32,BZ27 + 1)</xm:f>
            <x14:dxf>
              <fill>
                <patternFill>
                  <bgColor indexed="52"/>
                </patternFill>
              </fill>
            </x14:dxf>
          </x14:cfRule>
          <xm:sqref>CE27</xm:sqref>
        </x14:conditionalFormatting>
        <x14:conditionalFormatting xmlns:xm="http://schemas.microsoft.com/office/excel/2006/main">
          <x14:cfRule type="expression" priority="430" stopIfTrue="1" id="{2E1CE3B9-E024-4BB2-8649-3BCE4D903767}">
            <xm:f>(60 * HOUR(CF27) + MINUTE(CF27)) &gt;(60 * HOUR(INDEX('1.Locations'!G2:G32,BZ27 + 1)) +MINUTE(INDEX('1.Locations'!G2:G32,BZ27 + 1)))</xm:f>
            <x14:dxf>
              <fill>
                <patternFill>
                  <bgColor indexed="10"/>
                </patternFill>
              </fill>
            </x14:dxf>
          </x14:cfRule>
          <xm:sqref>CF27</xm:sqref>
        </x14:conditionalFormatting>
        <x14:conditionalFormatting xmlns:xm="http://schemas.microsoft.com/office/excel/2006/main">
          <x14:cfRule type="cellIs" priority="431" stopIfTrue="1" operator="lessThan" id="{B448E8DC-1CE1-4274-8C78-422839477104}">
            <xm:f>INDEX('1.Locations'!F2:F32,BZ28 + 1)</xm:f>
            <x14:dxf>
              <fill>
                <patternFill>
                  <bgColor indexed="52"/>
                </patternFill>
              </fill>
            </x14:dxf>
          </x14:cfRule>
          <xm:sqref>CE28</xm:sqref>
        </x14:conditionalFormatting>
        <x14:conditionalFormatting xmlns:xm="http://schemas.microsoft.com/office/excel/2006/main">
          <x14:cfRule type="expression" priority="432" stopIfTrue="1" id="{AAE79E63-3FB5-4711-A4FE-2ED2203323B5}">
            <xm:f>(60 * HOUR(CF28) + MINUTE(CF28)) &gt;(60 * HOUR(INDEX('1.Locations'!G2:G32,BZ28 + 1)) +MINUTE(INDEX('1.Locations'!G2:G32,BZ28 + 1)))</xm:f>
            <x14:dxf>
              <fill>
                <patternFill>
                  <bgColor indexed="10"/>
                </patternFill>
              </fill>
            </x14:dxf>
          </x14:cfRule>
          <xm:sqref>CF28</xm:sqref>
        </x14:conditionalFormatting>
        <x14:conditionalFormatting xmlns:xm="http://schemas.microsoft.com/office/excel/2006/main">
          <x14:cfRule type="cellIs" priority="433" stopIfTrue="1" operator="lessThan" id="{DC910CE4-52C9-4967-924C-9B4B14A3404E}">
            <xm:f>INDEX('1.Locations'!F2:F32,BZ29 + 1)</xm:f>
            <x14:dxf>
              <fill>
                <patternFill>
                  <bgColor indexed="52"/>
                </patternFill>
              </fill>
            </x14:dxf>
          </x14:cfRule>
          <xm:sqref>CE29</xm:sqref>
        </x14:conditionalFormatting>
        <x14:conditionalFormatting xmlns:xm="http://schemas.microsoft.com/office/excel/2006/main">
          <x14:cfRule type="expression" priority="434" stopIfTrue="1" id="{10C76E36-A8E1-4886-99E8-8D86B7352622}">
            <xm:f>(60 * HOUR(CF29) + MINUTE(CF29)) &gt;(60 * HOUR(INDEX('1.Locations'!G2:G32,BZ29 + 1)) +MINUTE(INDEX('1.Locations'!G2:G32,BZ29 + 1)))</xm:f>
            <x14:dxf>
              <fill>
                <patternFill>
                  <bgColor indexed="10"/>
                </patternFill>
              </fill>
            </x14:dxf>
          </x14:cfRule>
          <xm:sqref>CF29</xm:sqref>
        </x14:conditionalFormatting>
        <x14:conditionalFormatting xmlns:xm="http://schemas.microsoft.com/office/excel/2006/main">
          <x14:cfRule type="cellIs" priority="435" stopIfTrue="1" operator="lessThan" id="{F783486A-FF3D-4923-A02E-E261891E75C4}">
            <xm:f>INDEX('1.Locations'!F2:F32,BZ30 + 1)</xm:f>
            <x14:dxf>
              <fill>
                <patternFill>
                  <bgColor indexed="52"/>
                </patternFill>
              </fill>
            </x14:dxf>
          </x14:cfRule>
          <xm:sqref>CE30</xm:sqref>
        </x14:conditionalFormatting>
        <x14:conditionalFormatting xmlns:xm="http://schemas.microsoft.com/office/excel/2006/main">
          <x14:cfRule type="expression" priority="436" stopIfTrue="1" id="{555CDADD-5BDD-4FDD-A75B-318F29434D24}">
            <xm:f>(60 * HOUR(CF30) + MINUTE(CF30)) &gt;(60 * HOUR(INDEX('1.Locations'!G2:G32,BZ30 + 1)) +MINUTE(INDEX('1.Locations'!G2:G32,BZ30 + 1)))</xm:f>
            <x14:dxf>
              <fill>
                <patternFill>
                  <bgColor indexed="10"/>
                </patternFill>
              </fill>
            </x14:dxf>
          </x14:cfRule>
          <xm:sqref>CF30</xm:sqref>
        </x14:conditionalFormatting>
        <x14:conditionalFormatting xmlns:xm="http://schemas.microsoft.com/office/excel/2006/main">
          <x14:cfRule type="cellIs" priority="437" stopIfTrue="1" operator="lessThan" id="{66CAE5BD-6C13-43DF-9B3E-77351867BE4D}">
            <xm:f>INDEX('1.Locations'!F2:F32,BZ31 + 1)</xm:f>
            <x14:dxf>
              <fill>
                <patternFill>
                  <bgColor indexed="52"/>
                </patternFill>
              </fill>
            </x14:dxf>
          </x14:cfRule>
          <xm:sqref>CE31</xm:sqref>
        </x14:conditionalFormatting>
        <x14:conditionalFormatting xmlns:xm="http://schemas.microsoft.com/office/excel/2006/main">
          <x14:cfRule type="expression" priority="438" stopIfTrue="1" id="{F1FD57F5-CE68-43A6-A36A-DD2A4F18E539}">
            <xm:f>(60 * HOUR(CF31) + MINUTE(CF31)) &gt;(60 * HOUR(INDEX('1.Locations'!G2:G32,BZ31 + 1)) +MINUTE(INDEX('1.Locations'!G2:G32,BZ31 + 1)))</xm:f>
            <x14:dxf>
              <fill>
                <patternFill>
                  <bgColor indexed="10"/>
                </patternFill>
              </fill>
            </x14:dxf>
          </x14:cfRule>
          <xm:sqref>CF31</xm:sqref>
        </x14:conditionalFormatting>
        <x14:conditionalFormatting xmlns:xm="http://schemas.microsoft.com/office/excel/2006/main">
          <x14:cfRule type="cellIs" priority="439" stopIfTrue="1" operator="lessThan" id="{5263ADD6-3DE4-4EC6-9FA2-328422C5A71C}">
            <xm:f>INDEX('1.Locations'!F2:F32,BZ32 + 1)</xm:f>
            <x14:dxf>
              <fill>
                <patternFill>
                  <bgColor indexed="52"/>
                </patternFill>
              </fill>
            </x14:dxf>
          </x14:cfRule>
          <xm:sqref>CE32</xm:sqref>
        </x14:conditionalFormatting>
        <x14:conditionalFormatting xmlns:xm="http://schemas.microsoft.com/office/excel/2006/main">
          <x14:cfRule type="expression" priority="440" stopIfTrue="1" id="{7C2DB608-5848-46DA-A6B6-972834024E1B}">
            <xm:f>(60 * HOUR(CF32) + MINUTE(CF32)) &gt;(60 * HOUR(INDEX('1.Locations'!G2:G32,BZ32 + 1)) +MINUTE(INDEX('1.Locations'!G2:G32,BZ32 + 1)))</xm:f>
            <x14:dxf>
              <fill>
                <patternFill>
                  <bgColor indexed="10"/>
                </patternFill>
              </fill>
            </x14:dxf>
          </x14:cfRule>
          <xm:sqref>CF32</xm:sqref>
        </x14:conditionalFormatting>
        <x14:conditionalFormatting xmlns:xm="http://schemas.microsoft.com/office/excel/2006/main">
          <x14:cfRule type="cellIs" priority="441" stopIfTrue="1" operator="lessThan" id="{F67B9B04-F9B5-4F74-9AF0-EF7F7A1A86D1}">
            <xm:f>INDEX('1.Locations'!F2:F32,BZ33 + 1)</xm:f>
            <x14:dxf>
              <fill>
                <patternFill>
                  <bgColor indexed="52"/>
                </patternFill>
              </fill>
            </x14:dxf>
          </x14:cfRule>
          <xm:sqref>CE33</xm:sqref>
        </x14:conditionalFormatting>
        <x14:conditionalFormatting xmlns:xm="http://schemas.microsoft.com/office/excel/2006/main">
          <x14:cfRule type="expression" priority="442" stopIfTrue="1" id="{6A1248E5-958E-4F19-919D-3340500FEECE}">
            <xm:f>(60 * HOUR(CF33) + MINUTE(CF33)) &gt;(60 * HOUR(INDEX('1.Locations'!G2:G32,BZ33 + 1)) +MINUTE(INDEX('1.Locations'!G2:G32,BZ33 + 1)))</xm:f>
            <x14:dxf>
              <fill>
                <patternFill>
                  <bgColor indexed="10"/>
                </patternFill>
              </fill>
            </x14:dxf>
          </x14:cfRule>
          <xm:sqref>CF33</xm:sqref>
        </x14:conditionalFormatting>
        <x14:conditionalFormatting xmlns:xm="http://schemas.microsoft.com/office/excel/2006/main">
          <x14:cfRule type="cellIs" priority="443" stopIfTrue="1" operator="lessThan" id="{7C0D5022-594C-45DC-8DC0-0EC845551FC5}">
            <xm:f>INDEX('1.Locations'!F2:F32,BZ34 + 1)</xm:f>
            <x14:dxf>
              <fill>
                <patternFill>
                  <bgColor indexed="52"/>
                </patternFill>
              </fill>
            </x14:dxf>
          </x14:cfRule>
          <xm:sqref>CE34</xm:sqref>
        </x14:conditionalFormatting>
        <x14:conditionalFormatting xmlns:xm="http://schemas.microsoft.com/office/excel/2006/main">
          <x14:cfRule type="expression" priority="444" stopIfTrue="1" id="{2B11A896-89F0-4998-AAD3-0C645B10BE77}">
            <xm:f>(60 * HOUR(CF34) + MINUTE(CF34)) &gt;(60 * HOUR(INDEX('1.Locations'!G2:G32,BZ34 + 1)) +MINUTE(INDEX('1.Locations'!G2:G32,BZ34 + 1)))</xm:f>
            <x14:dxf>
              <fill>
                <patternFill>
                  <bgColor indexed="10"/>
                </patternFill>
              </fill>
            </x14:dxf>
          </x14:cfRule>
          <xm:sqref>CF34</xm:sqref>
        </x14:conditionalFormatting>
        <x14:conditionalFormatting xmlns:xm="http://schemas.microsoft.com/office/excel/2006/main">
          <x14:cfRule type="cellIs" priority="445" stopIfTrue="1" operator="lessThan" id="{4612D26A-2F41-48C8-8BC7-71552DE340AA}">
            <xm:f>INDEX('1.Locations'!F2:F32,BZ35 + 1)</xm:f>
            <x14:dxf>
              <fill>
                <patternFill>
                  <bgColor indexed="52"/>
                </patternFill>
              </fill>
            </x14:dxf>
          </x14:cfRule>
          <xm:sqref>CE35</xm:sqref>
        </x14:conditionalFormatting>
        <x14:conditionalFormatting xmlns:xm="http://schemas.microsoft.com/office/excel/2006/main">
          <x14:cfRule type="expression" priority="446" stopIfTrue="1" id="{2F717726-8B10-45AE-8158-1D94C360CD06}">
            <xm:f>(60 * HOUR(CF35) + MINUTE(CF35)) &gt;(60 * HOUR(INDEX('1.Locations'!G2:G32,BZ35 + 1)) +MINUTE(INDEX('1.Locations'!G2:G32,BZ35 + 1)))</xm:f>
            <x14:dxf>
              <fill>
                <patternFill>
                  <bgColor indexed="10"/>
                </patternFill>
              </fill>
            </x14:dxf>
          </x14:cfRule>
          <xm:sqref>CF35</xm:sqref>
        </x14:conditionalFormatting>
        <x14:conditionalFormatting xmlns:xm="http://schemas.microsoft.com/office/excel/2006/main">
          <x14:cfRule type="cellIs" priority="447" stopIfTrue="1" operator="lessThan" id="{540F5C2F-BC16-499A-A942-17FC1DCC4689}">
            <xm:f>INDEX('1.Locations'!F2:F32,BZ36 + 1)</xm:f>
            <x14:dxf>
              <fill>
                <patternFill>
                  <bgColor indexed="52"/>
                </patternFill>
              </fill>
            </x14:dxf>
          </x14:cfRule>
          <xm:sqref>CE36</xm:sqref>
        </x14:conditionalFormatting>
        <x14:conditionalFormatting xmlns:xm="http://schemas.microsoft.com/office/excel/2006/main">
          <x14:cfRule type="expression" priority="448" stopIfTrue="1" id="{4700C3D8-1D28-4E01-86BD-79494AB61C0D}">
            <xm:f>(60 * HOUR(CF36) + MINUTE(CF36)) &gt;(60 * HOUR(INDEX('1.Locations'!G2:G32,BZ36 + 1)) +MINUTE(INDEX('1.Locations'!G2:G32,BZ36 + 1)))</xm:f>
            <x14:dxf>
              <fill>
                <patternFill>
                  <bgColor indexed="10"/>
                </patternFill>
              </fill>
            </x14:dxf>
          </x14:cfRule>
          <xm:sqref>CF36</xm:sqref>
        </x14:conditionalFormatting>
        <x14:conditionalFormatting xmlns:xm="http://schemas.microsoft.com/office/excel/2006/main">
          <x14:cfRule type="cellIs" priority="449" stopIfTrue="1" operator="greaterThan" id="{8C31D55E-25DE-4FF2-B294-7A1EBE76896D}">
            <xm:f>'3.Vehicles'!$F$2</xm:f>
            <x14:dxf>
              <fill>
                <patternFill>
                  <bgColor indexed="10"/>
                </patternFill>
              </fill>
            </x14:dxf>
          </x14:cfRule>
          <xm:sqref>CC6:CC36</xm:sqref>
        </x14:conditionalFormatting>
        <x14:conditionalFormatting xmlns:xm="http://schemas.microsoft.com/office/excel/2006/main">
          <x14:cfRule type="cellIs" priority="450" stopIfTrue="1" operator="greaterThan" id="{DC9D251C-D2D1-47C8-95A9-6AC5DA3D1F8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CK5:CK36</xm:sqref>
        </x14:conditionalFormatting>
        <x14:conditionalFormatting xmlns:xm="http://schemas.microsoft.com/office/excel/2006/main">
          <x14:cfRule type="cellIs" priority="452" stopIfTrue="1" operator="greaterThan" id="{3A319612-465D-4F5B-A568-C19AA7814812}">
            <xm:f>'3.Vehicles'!$H$2</xm:f>
            <x14:dxf>
              <fill>
                <patternFill>
                  <bgColor indexed="10"/>
                </patternFill>
              </fill>
            </x14:dxf>
          </x14:cfRule>
          <xm:sqref>CD6:CD36</xm:sqref>
        </x14:conditionalFormatting>
        <x14:conditionalFormatting xmlns:xm="http://schemas.microsoft.com/office/excel/2006/main">
          <x14:cfRule type="cellIs" priority="453" stopIfTrue="1" operator="greaterThan" id="{75469DB4-3407-4087-891A-9B678ED862FB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CG6:CG36</xm:sqref>
        </x14:conditionalFormatting>
        <x14:conditionalFormatting xmlns:xm="http://schemas.microsoft.com/office/excel/2006/main">
          <x14:cfRule type="expression" priority="455" stopIfTrue="1" id="{33F9EED2-B6EE-4FAE-A074-BFAE8468393C}">
            <xm:f>(60 * HOUR(CU5) + MINUTE(CU5)) &gt;(60 * HOUR(INDEX('1.Locations'!G2:G32,CO5 + 1)) +MINUTE(INDEX('1.Locations'!G2:G32,CO5 + 1)))</xm:f>
            <x14:dxf>
              <fill>
                <patternFill>
                  <bgColor indexed="10"/>
                </patternFill>
              </fill>
            </x14:dxf>
          </x14:cfRule>
          <xm:sqref>CU5</xm:sqref>
        </x14:conditionalFormatting>
        <x14:conditionalFormatting xmlns:xm="http://schemas.microsoft.com/office/excel/2006/main">
          <x14:cfRule type="cellIs" priority="456" stopIfTrue="1" operator="lessThan" id="{A913A6DA-667F-4FC3-99E7-AE5196335067}">
            <xm:f>INDEX('1.Locations'!F2:F32,CO6 + 1)</xm:f>
            <x14:dxf>
              <fill>
                <patternFill>
                  <bgColor indexed="52"/>
                </patternFill>
              </fill>
            </x14:dxf>
          </x14:cfRule>
          <xm:sqref>CT6</xm:sqref>
        </x14:conditionalFormatting>
        <x14:conditionalFormatting xmlns:xm="http://schemas.microsoft.com/office/excel/2006/main">
          <x14:cfRule type="expression" priority="457" stopIfTrue="1" id="{6495B300-BFF1-4403-80B6-08AF6DF5624E}">
            <xm:f>(60 * HOUR(CU6) + MINUTE(CU6)) &gt;(60 * HOUR(INDEX('1.Locations'!G2:G32,CO6 + 1)) +MINUTE(INDEX('1.Locations'!G2:G32,CO6 + 1)))</xm:f>
            <x14:dxf>
              <fill>
                <patternFill>
                  <bgColor indexed="10"/>
                </patternFill>
              </fill>
            </x14:dxf>
          </x14:cfRule>
          <xm:sqref>CU6</xm:sqref>
        </x14:conditionalFormatting>
        <x14:conditionalFormatting xmlns:xm="http://schemas.microsoft.com/office/excel/2006/main">
          <x14:cfRule type="cellIs" priority="458" stopIfTrue="1" operator="lessThan" id="{447F0297-0320-41CA-8614-8BD03AA90F6C}">
            <xm:f>INDEX('1.Locations'!F2:F32,CO7 + 1)</xm:f>
            <x14:dxf>
              <fill>
                <patternFill>
                  <bgColor indexed="52"/>
                </patternFill>
              </fill>
            </x14:dxf>
          </x14:cfRule>
          <xm:sqref>CT7</xm:sqref>
        </x14:conditionalFormatting>
        <x14:conditionalFormatting xmlns:xm="http://schemas.microsoft.com/office/excel/2006/main">
          <x14:cfRule type="expression" priority="459" stopIfTrue="1" id="{F0340D1C-BC90-4662-8550-6B32EEF18EB0}">
            <xm:f>(60 * HOUR(CU7) + MINUTE(CU7)) &gt;(60 * HOUR(INDEX('1.Locations'!G2:G32,CO7 + 1)) +MINUTE(INDEX('1.Locations'!G2:G32,CO7 + 1)))</xm:f>
            <x14:dxf>
              <fill>
                <patternFill>
                  <bgColor indexed="10"/>
                </patternFill>
              </fill>
            </x14:dxf>
          </x14:cfRule>
          <xm:sqref>CU7</xm:sqref>
        </x14:conditionalFormatting>
        <x14:conditionalFormatting xmlns:xm="http://schemas.microsoft.com/office/excel/2006/main">
          <x14:cfRule type="cellIs" priority="460" stopIfTrue="1" operator="lessThan" id="{4B0B7958-16FB-4904-BC8D-F361D867E588}">
            <xm:f>INDEX('1.Locations'!F2:F32,CO8 + 1)</xm:f>
            <x14:dxf>
              <fill>
                <patternFill>
                  <bgColor indexed="52"/>
                </patternFill>
              </fill>
            </x14:dxf>
          </x14:cfRule>
          <xm:sqref>CT8</xm:sqref>
        </x14:conditionalFormatting>
        <x14:conditionalFormatting xmlns:xm="http://schemas.microsoft.com/office/excel/2006/main">
          <x14:cfRule type="expression" priority="461" stopIfTrue="1" id="{D9CD08E9-C620-4ABF-96E1-E16750595A6A}">
            <xm:f>(60 * HOUR(CU8) + MINUTE(CU8)) &gt;(60 * HOUR(INDEX('1.Locations'!G2:G32,CO8 + 1)) +MINUTE(INDEX('1.Locations'!G2:G32,CO8 + 1)))</xm:f>
            <x14:dxf>
              <fill>
                <patternFill>
                  <bgColor indexed="10"/>
                </patternFill>
              </fill>
            </x14:dxf>
          </x14:cfRule>
          <xm:sqref>CU8</xm:sqref>
        </x14:conditionalFormatting>
        <x14:conditionalFormatting xmlns:xm="http://schemas.microsoft.com/office/excel/2006/main">
          <x14:cfRule type="cellIs" priority="462" stopIfTrue="1" operator="lessThan" id="{268D8C1A-5C50-45CB-931D-C8973366089E}">
            <xm:f>INDEX('1.Locations'!F2:F32,CO9 + 1)</xm:f>
            <x14:dxf>
              <fill>
                <patternFill>
                  <bgColor indexed="52"/>
                </patternFill>
              </fill>
            </x14:dxf>
          </x14:cfRule>
          <xm:sqref>CT9</xm:sqref>
        </x14:conditionalFormatting>
        <x14:conditionalFormatting xmlns:xm="http://schemas.microsoft.com/office/excel/2006/main">
          <x14:cfRule type="expression" priority="463" stopIfTrue="1" id="{C14672D4-8D1D-4F0A-A58F-FD5EC9FE0A40}">
            <xm:f>(60 * HOUR(CU9) + MINUTE(CU9)) &gt;(60 * HOUR(INDEX('1.Locations'!G2:G32,CO9 + 1)) +MINUTE(INDEX('1.Locations'!G2:G32,CO9 + 1)))</xm:f>
            <x14:dxf>
              <fill>
                <patternFill>
                  <bgColor indexed="10"/>
                </patternFill>
              </fill>
            </x14:dxf>
          </x14:cfRule>
          <xm:sqref>CU9</xm:sqref>
        </x14:conditionalFormatting>
        <x14:conditionalFormatting xmlns:xm="http://schemas.microsoft.com/office/excel/2006/main">
          <x14:cfRule type="cellIs" priority="464" stopIfTrue="1" operator="lessThan" id="{938F8656-B48A-4203-A522-4242E2DDD718}">
            <xm:f>INDEX('1.Locations'!F2:F32,CO10 + 1)</xm:f>
            <x14:dxf>
              <fill>
                <patternFill>
                  <bgColor indexed="52"/>
                </patternFill>
              </fill>
            </x14:dxf>
          </x14:cfRule>
          <xm:sqref>CT10</xm:sqref>
        </x14:conditionalFormatting>
        <x14:conditionalFormatting xmlns:xm="http://schemas.microsoft.com/office/excel/2006/main">
          <x14:cfRule type="expression" priority="465" stopIfTrue="1" id="{3349172F-2025-4FFA-B812-29472EE17012}">
            <xm:f>(60 * HOUR(CU10) + MINUTE(CU10)) &gt;(60 * HOUR(INDEX('1.Locations'!G2:G32,CO10 + 1)) +MINUTE(INDEX('1.Locations'!G2:G32,CO10 + 1)))</xm:f>
            <x14:dxf>
              <fill>
                <patternFill>
                  <bgColor indexed="10"/>
                </patternFill>
              </fill>
            </x14:dxf>
          </x14:cfRule>
          <xm:sqref>CU10</xm:sqref>
        </x14:conditionalFormatting>
        <x14:conditionalFormatting xmlns:xm="http://schemas.microsoft.com/office/excel/2006/main">
          <x14:cfRule type="cellIs" priority="466" stopIfTrue="1" operator="lessThan" id="{CE3E7CA3-529E-4261-9A64-EC78F4DD9242}">
            <xm:f>INDEX('1.Locations'!F2:F32,CO11 + 1)</xm:f>
            <x14:dxf>
              <fill>
                <patternFill>
                  <bgColor indexed="52"/>
                </patternFill>
              </fill>
            </x14:dxf>
          </x14:cfRule>
          <xm:sqref>CT11</xm:sqref>
        </x14:conditionalFormatting>
        <x14:conditionalFormatting xmlns:xm="http://schemas.microsoft.com/office/excel/2006/main">
          <x14:cfRule type="expression" priority="467" stopIfTrue="1" id="{23309C2B-CB46-49AE-91A6-699D3FE9473E}">
            <xm:f>(60 * HOUR(CU11) + MINUTE(CU11)) &gt;(60 * HOUR(INDEX('1.Locations'!G2:G32,CO11 + 1)) +MINUTE(INDEX('1.Locations'!G2:G32,CO11 + 1)))</xm:f>
            <x14:dxf>
              <fill>
                <patternFill>
                  <bgColor indexed="10"/>
                </patternFill>
              </fill>
            </x14:dxf>
          </x14:cfRule>
          <xm:sqref>CU11</xm:sqref>
        </x14:conditionalFormatting>
        <x14:conditionalFormatting xmlns:xm="http://schemas.microsoft.com/office/excel/2006/main">
          <x14:cfRule type="cellIs" priority="468" stopIfTrue="1" operator="lessThan" id="{38864E8B-0BC5-4376-9229-75EA9DFB0FF2}">
            <xm:f>INDEX('1.Locations'!F2:F32,CO12 + 1)</xm:f>
            <x14:dxf>
              <fill>
                <patternFill>
                  <bgColor indexed="52"/>
                </patternFill>
              </fill>
            </x14:dxf>
          </x14:cfRule>
          <xm:sqref>CT12</xm:sqref>
        </x14:conditionalFormatting>
        <x14:conditionalFormatting xmlns:xm="http://schemas.microsoft.com/office/excel/2006/main">
          <x14:cfRule type="expression" priority="469" stopIfTrue="1" id="{E2A76969-4020-4C60-8046-56F90C491B9B}">
            <xm:f>(60 * HOUR(CU12) + MINUTE(CU12)) &gt;(60 * HOUR(INDEX('1.Locations'!G2:G32,CO12 + 1)) +MINUTE(INDEX('1.Locations'!G2:G32,CO12 + 1)))</xm:f>
            <x14:dxf>
              <fill>
                <patternFill>
                  <bgColor indexed="10"/>
                </patternFill>
              </fill>
            </x14:dxf>
          </x14:cfRule>
          <xm:sqref>CU12</xm:sqref>
        </x14:conditionalFormatting>
        <x14:conditionalFormatting xmlns:xm="http://schemas.microsoft.com/office/excel/2006/main">
          <x14:cfRule type="cellIs" priority="470" stopIfTrue="1" operator="lessThan" id="{80D30CC6-78FB-4FCB-98DC-BE1C2E4D259F}">
            <xm:f>INDEX('1.Locations'!F2:F32,CO13 + 1)</xm:f>
            <x14:dxf>
              <fill>
                <patternFill>
                  <bgColor indexed="52"/>
                </patternFill>
              </fill>
            </x14:dxf>
          </x14:cfRule>
          <xm:sqref>CT13</xm:sqref>
        </x14:conditionalFormatting>
        <x14:conditionalFormatting xmlns:xm="http://schemas.microsoft.com/office/excel/2006/main">
          <x14:cfRule type="expression" priority="471" stopIfTrue="1" id="{4C333DA0-1281-4A80-9863-F01686CA7CAD}">
            <xm:f>(60 * HOUR(CU13) + MINUTE(CU13)) &gt;(60 * HOUR(INDEX('1.Locations'!G2:G32,CO13 + 1)) +MINUTE(INDEX('1.Locations'!G2:G32,CO13 + 1)))</xm:f>
            <x14:dxf>
              <fill>
                <patternFill>
                  <bgColor indexed="10"/>
                </patternFill>
              </fill>
            </x14:dxf>
          </x14:cfRule>
          <xm:sqref>CU13</xm:sqref>
        </x14:conditionalFormatting>
        <x14:conditionalFormatting xmlns:xm="http://schemas.microsoft.com/office/excel/2006/main">
          <x14:cfRule type="cellIs" priority="472" stopIfTrue="1" operator="lessThan" id="{04960A32-0FD2-40AA-B5D0-5F6A2C839253}">
            <xm:f>INDEX('1.Locations'!F2:F32,CO14 + 1)</xm:f>
            <x14:dxf>
              <fill>
                <patternFill>
                  <bgColor indexed="52"/>
                </patternFill>
              </fill>
            </x14:dxf>
          </x14:cfRule>
          <xm:sqref>CT14</xm:sqref>
        </x14:conditionalFormatting>
        <x14:conditionalFormatting xmlns:xm="http://schemas.microsoft.com/office/excel/2006/main">
          <x14:cfRule type="expression" priority="473" stopIfTrue="1" id="{3A7DCC28-7B17-4CD9-8DBF-35884367B357}">
            <xm:f>(60 * HOUR(CU14) + MINUTE(CU14)) &gt;(60 * HOUR(INDEX('1.Locations'!G2:G32,CO14 + 1)) +MINUTE(INDEX('1.Locations'!G2:G32,CO14 + 1)))</xm:f>
            <x14:dxf>
              <fill>
                <patternFill>
                  <bgColor indexed="10"/>
                </patternFill>
              </fill>
            </x14:dxf>
          </x14:cfRule>
          <xm:sqref>CU14</xm:sqref>
        </x14:conditionalFormatting>
        <x14:conditionalFormatting xmlns:xm="http://schemas.microsoft.com/office/excel/2006/main">
          <x14:cfRule type="cellIs" priority="474" stopIfTrue="1" operator="lessThan" id="{2B0AEDE0-823D-4C08-88F0-5618EF3D1E89}">
            <xm:f>INDEX('1.Locations'!F2:F32,CO15 + 1)</xm:f>
            <x14:dxf>
              <fill>
                <patternFill>
                  <bgColor indexed="52"/>
                </patternFill>
              </fill>
            </x14:dxf>
          </x14:cfRule>
          <xm:sqref>CT15</xm:sqref>
        </x14:conditionalFormatting>
        <x14:conditionalFormatting xmlns:xm="http://schemas.microsoft.com/office/excel/2006/main">
          <x14:cfRule type="expression" priority="475" stopIfTrue="1" id="{73435FDD-64C9-48C4-B8A4-BC80F9733B93}">
            <xm:f>(60 * HOUR(CU15) + MINUTE(CU15)) &gt;(60 * HOUR(INDEX('1.Locations'!G2:G32,CO15 + 1)) +MINUTE(INDEX('1.Locations'!G2:G32,CO15 + 1)))</xm:f>
            <x14:dxf>
              <fill>
                <patternFill>
                  <bgColor indexed="10"/>
                </patternFill>
              </fill>
            </x14:dxf>
          </x14:cfRule>
          <xm:sqref>CU15</xm:sqref>
        </x14:conditionalFormatting>
        <x14:conditionalFormatting xmlns:xm="http://schemas.microsoft.com/office/excel/2006/main">
          <x14:cfRule type="cellIs" priority="476" stopIfTrue="1" operator="lessThan" id="{0D107410-D57B-4FB3-AF0D-8D313E660302}">
            <xm:f>INDEX('1.Locations'!F2:F32,CO16 + 1)</xm:f>
            <x14:dxf>
              <fill>
                <patternFill>
                  <bgColor indexed="52"/>
                </patternFill>
              </fill>
            </x14:dxf>
          </x14:cfRule>
          <xm:sqref>CT16</xm:sqref>
        </x14:conditionalFormatting>
        <x14:conditionalFormatting xmlns:xm="http://schemas.microsoft.com/office/excel/2006/main">
          <x14:cfRule type="expression" priority="477" stopIfTrue="1" id="{D1E40790-DC21-41FC-ABAE-2B0ACBB74F96}">
            <xm:f>(60 * HOUR(CU16) + MINUTE(CU16)) &gt;(60 * HOUR(INDEX('1.Locations'!G2:G32,CO16 + 1)) +MINUTE(INDEX('1.Locations'!G2:G32,CO16 + 1)))</xm:f>
            <x14:dxf>
              <fill>
                <patternFill>
                  <bgColor indexed="10"/>
                </patternFill>
              </fill>
            </x14:dxf>
          </x14:cfRule>
          <xm:sqref>CU16</xm:sqref>
        </x14:conditionalFormatting>
        <x14:conditionalFormatting xmlns:xm="http://schemas.microsoft.com/office/excel/2006/main">
          <x14:cfRule type="cellIs" priority="478" stopIfTrue="1" operator="lessThan" id="{1B6E0A9D-2F3F-4712-BEF6-B309B3823004}">
            <xm:f>INDEX('1.Locations'!F2:F32,CO17 + 1)</xm:f>
            <x14:dxf>
              <fill>
                <patternFill>
                  <bgColor indexed="52"/>
                </patternFill>
              </fill>
            </x14:dxf>
          </x14:cfRule>
          <xm:sqref>CT17</xm:sqref>
        </x14:conditionalFormatting>
        <x14:conditionalFormatting xmlns:xm="http://schemas.microsoft.com/office/excel/2006/main">
          <x14:cfRule type="expression" priority="479" stopIfTrue="1" id="{D61F6A9E-192C-411E-8FD2-21284ACE758D}">
            <xm:f>(60 * HOUR(CU17) + MINUTE(CU17)) &gt;(60 * HOUR(INDEX('1.Locations'!G2:G32,CO17 + 1)) +MINUTE(INDEX('1.Locations'!G2:G32,CO17 + 1)))</xm:f>
            <x14:dxf>
              <fill>
                <patternFill>
                  <bgColor indexed="10"/>
                </patternFill>
              </fill>
            </x14:dxf>
          </x14:cfRule>
          <xm:sqref>CU17</xm:sqref>
        </x14:conditionalFormatting>
        <x14:conditionalFormatting xmlns:xm="http://schemas.microsoft.com/office/excel/2006/main">
          <x14:cfRule type="cellIs" priority="480" stopIfTrue="1" operator="lessThan" id="{3D70BA42-6C6C-4121-A8CD-7672012CCCAC}">
            <xm:f>INDEX('1.Locations'!F2:F32,CO18 + 1)</xm:f>
            <x14:dxf>
              <fill>
                <patternFill>
                  <bgColor indexed="52"/>
                </patternFill>
              </fill>
            </x14:dxf>
          </x14:cfRule>
          <xm:sqref>CT18</xm:sqref>
        </x14:conditionalFormatting>
        <x14:conditionalFormatting xmlns:xm="http://schemas.microsoft.com/office/excel/2006/main">
          <x14:cfRule type="expression" priority="481" stopIfTrue="1" id="{90053360-4080-4F41-9C44-44D19FA99C6B}">
            <xm:f>(60 * HOUR(CU18) + MINUTE(CU18)) &gt;(60 * HOUR(INDEX('1.Locations'!G2:G32,CO18 + 1)) +MINUTE(INDEX('1.Locations'!G2:G32,CO18 + 1)))</xm:f>
            <x14:dxf>
              <fill>
                <patternFill>
                  <bgColor indexed="10"/>
                </patternFill>
              </fill>
            </x14:dxf>
          </x14:cfRule>
          <xm:sqref>CU18</xm:sqref>
        </x14:conditionalFormatting>
        <x14:conditionalFormatting xmlns:xm="http://schemas.microsoft.com/office/excel/2006/main">
          <x14:cfRule type="cellIs" priority="482" stopIfTrue="1" operator="lessThan" id="{A168BFA9-C93B-4052-B2EC-F5E82879D899}">
            <xm:f>INDEX('1.Locations'!F2:F32,CO19 + 1)</xm:f>
            <x14:dxf>
              <fill>
                <patternFill>
                  <bgColor indexed="52"/>
                </patternFill>
              </fill>
            </x14:dxf>
          </x14:cfRule>
          <xm:sqref>CT19</xm:sqref>
        </x14:conditionalFormatting>
        <x14:conditionalFormatting xmlns:xm="http://schemas.microsoft.com/office/excel/2006/main">
          <x14:cfRule type="expression" priority="483" stopIfTrue="1" id="{614108E8-0372-48AE-92FF-5935FAF02A4A}">
            <xm:f>(60 * HOUR(CU19) + MINUTE(CU19)) &gt;(60 * HOUR(INDEX('1.Locations'!G2:G32,CO19 + 1)) +MINUTE(INDEX('1.Locations'!G2:G32,CO19 + 1)))</xm:f>
            <x14:dxf>
              <fill>
                <patternFill>
                  <bgColor indexed="10"/>
                </patternFill>
              </fill>
            </x14:dxf>
          </x14:cfRule>
          <xm:sqref>CU19</xm:sqref>
        </x14:conditionalFormatting>
        <x14:conditionalFormatting xmlns:xm="http://schemas.microsoft.com/office/excel/2006/main">
          <x14:cfRule type="cellIs" priority="484" stopIfTrue="1" operator="lessThan" id="{C3653E47-AC9F-4BCF-AA42-A53351EC1EB8}">
            <xm:f>INDEX('1.Locations'!F2:F32,CO20 + 1)</xm:f>
            <x14:dxf>
              <fill>
                <patternFill>
                  <bgColor indexed="52"/>
                </patternFill>
              </fill>
            </x14:dxf>
          </x14:cfRule>
          <xm:sqref>CT20</xm:sqref>
        </x14:conditionalFormatting>
        <x14:conditionalFormatting xmlns:xm="http://schemas.microsoft.com/office/excel/2006/main">
          <x14:cfRule type="expression" priority="485" stopIfTrue="1" id="{085FEC22-9D00-4474-A16B-427D29FFD5EC}">
            <xm:f>(60 * HOUR(CU20) + MINUTE(CU20)) &gt;(60 * HOUR(INDEX('1.Locations'!G2:G32,CO20 + 1)) +MINUTE(INDEX('1.Locations'!G2:G32,CO20 + 1)))</xm:f>
            <x14:dxf>
              <fill>
                <patternFill>
                  <bgColor indexed="10"/>
                </patternFill>
              </fill>
            </x14:dxf>
          </x14:cfRule>
          <xm:sqref>CU20</xm:sqref>
        </x14:conditionalFormatting>
        <x14:conditionalFormatting xmlns:xm="http://schemas.microsoft.com/office/excel/2006/main">
          <x14:cfRule type="cellIs" priority="486" stopIfTrue="1" operator="lessThan" id="{CF38D5D1-1711-48C4-8E1B-E7A7C49DDF37}">
            <xm:f>INDEX('1.Locations'!F2:F32,CO21 + 1)</xm:f>
            <x14:dxf>
              <fill>
                <patternFill>
                  <bgColor indexed="52"/>
                </patternFill>
              </fill>
            </x14:dxf>
          </x14:cfRule>
          <xm:sqref>CT21</xm:sqref>
        </x14:conditionalFormatting>
        <x14:conditionalFormatting xmlns:xm="http://schemas.microsoft.com/office/excel/2006/main">
          <x14:cfRule type="expression" priority="487" stopIfTrue="1" id="{0365ABAB-D0CA-46DA-82B0-AE86714F8FB3}">
            <xm:f>(60 * HOUR(CU21) + MINUTE(CU21)) &gt;(60 * HOUR(INDEX('1.Locations'!G2:G32,CO21 + 1)) +MINUTE(INDEX('1.Locations'!G2:G32,CO21 + 1)))</xm:f>
            <x14:dxf>
              <fill>
                <patternFill>
                  <bgColor indexed="10"/>
                </patternFill>
              </fill>
            </x14:dxf>
          </x14:cfRule>
          <xm:sqref>CU21</xm:sqref>
        </x14:conditionalFormatting>
        <x14:conditionalFormatting xmlns:xm="http://schemas.microsoft.com/office/excel/2006/main">
          <x14:cfRule type="cellIs" priority="488" stopIfTrue="1" operator="lessThan" id="{94F20C6F-9A8E-49A6-94C3-A6425CAA327B}">
            <xm:f>INDEX('1.Locations'!F2:F32,CO22 + 1)</xm:f>
            <x14:dxf>
              <fill>
                <patternFill>
                  <bgColor indexed="52"/>
                </patternFill>
              </fill>
            </x14:dxf>
          </x14:cfRule>
          <xm:sqref>CT22</xm:sqref>
        </x14:conditionalFormatting>
        <x14:conditionalFormatting xmlns:xm="http://schemas.microsoft.com/office/excel/2006/main">
          <x14:cfRule type="expression" priority="489" stopIfTrue="1" id="{8DA8A405-7C19-49BD-9BB6-89A26283CBE2}">
            <xm:f>(60 * HOUR(CU22) + MINUTE(CU22)) &gt;(60 * HOUR(INDEX('1.Locations'!G2:G32,CO22 + 1)) +MINUTE(INDEX('1.Locations'!G2:G32,CO22 + 1)))</xm:f>
            <x14:dxf>
              <fill>
                <patternFill>
                  <bgColor indexed="10"/>
                </patternFill>
              </fill>
            </x14:dxf>
          </x14:cfRule>
          <xm:sqref>CU22</xm:sqref>
        </x14:conditionalFormatting>
        <x14:conditionalFormatting xmlns:xm="http://schemas.microsoft.com/office/excel/2006/main">
          <x14:cfRule type="cellIs" priority="490" stopIfTrue="1" operator="lessThan" id="{2D2F905E-4D36-4E56-B819-C558CEEED2F2}">
            <xm:f>INDEX('1.Locations'!F2:F32,CO23 + 1)</xm:f>
            <x14:dxf>
              <fill>
                <patternFill>
                  <bgColor indexed="52"/>
                </patternFill>
              </fill>
            </x14:dxf>
          </x14:cfRule>
          <xm:sqref>CT23</xm:sqref>
        </x14:conditionalFormatting>
        <x14:conditionalFormatting xmlns:xm="http://schemas.microsoft.com/office/excel/2006/main">
          <x14:cfRule type="expression" priority="491" stopIfTrue="1" id="{19C5AA9B-3426-47C6-9D79-7AF7DCEDFCFF}">
            <xm:f>(60 * HOUR(CU23) + MINUTE(CU23)) &gt;(60 * HOUR(INDEX('1.Locations'!G2:G32,CO23 + 1)) +MINUTE(INDEX('1.Locations'!G2:G32,CO23 + 1)))</xm:f>
            <x14:dxf>
              <fill>
                <patternFill>
                  <bgColor indexed="10"/>
                </patternFill>
              </fill>
            </x14:dxf>
          </x14:cfRule>
          <xm:sqref>CU23</xm:sqref>
        </x14:conditionalFormatting>
        <x14:conditionalFormatting xmlns:xm="http://schemas.microsoft.com/office/excel/2006/main">
          <x14:cfRule type="cellIs" priority="492" stopIfTrue="1" operator="lessThan" id="{7481EB7A-C9C1-4216-84AA-6DE600BA51CF}">
            <xm:f>INDEX('1.Locations'!F2:F32,CO24 + 1)</xm:f>
            <x14:dxf>
              <fill>
                <patternFill>
                  <bgColor indexed="52"/>
                </patternFill>
              </fill>
            </x14:dxf>
          </x14:cfRule>
          <xm:sqref>CT24</xm:sqref>
        </x14:conditionalFormatting>
        <x14:conditionalFormatting xmlns:xm="http://schemas.microsoft.com/office/excel/2006/main">
          <x14:cfRule type="expression" priority="493" stopIfTrue="1" id="{7E99D1AE-33D1-4024-9251-C70F3F4DA76E}">
            <xm:f>(60 * HOUR(CU24) + MINUTE(CU24)) &gt;(60 * HOUR(INDEX('1.Locations'!G2:G32,CO24 + 1)) +MINUTE(INDEX('1.Locations'!G2:G32,CO24 + 1)))</xm:f>
            <x14:dxf>
              <fill>
                <patternFill>
                  <bgColor indexed="10"/>
                </patternFill>
              </fill>
            </x14:dxf>
          </x14:cfRule>
          <xm:sqref>CU24</xm:sqref>
        </x14:conditionalFormatting>
        <x14:conditionalFormatting xmlns:xm="http://schemas.microsoft.com/office/excel/2006/main">
          <x14:cfRule type="cellIs" priority="494" stopIfTrue="1" operator="lessThan" id="{AFC9C42C-B817-4548-9B4C-DABA897C6459}">
            <xm:f>INDEX('1.Locations'!F2:F32,CO25 + 1)</xm:f>
            <x14:dxf>
              <fill>
                <patternFill>
                  <bgColor indexed="52"/>
                </patternFill>
              </fill>
            </x14:dxf>
          </x14:cfRule>
          <xm:sqref>CT25</xm:sqref>
        </x14:conditionalFormatting>
        <x14:conditionalFormatting xmlns:xm="http://schemas.microsoft.com/office/excel/2006/main">
          <x14:cfRule type="expression" priority="495" stopIfTrue="1" id="{A3ACB199-0287-4C37-AF67-64D13C407148}">
            <xm:f>(60 * HOUR(CU25) + MINUTE(CU25)) &gt;(60 * HOUR(INDEX('1.Locations'!G2:G32,CO25 + 1)) +MINUTE(INDEX('1.Locations'!G2:G32,CO25 + 1)))</xm:f>
            <x14:dxf>
              <fill>
                <patternFill>
                  <bgColor indexed="10"/>
                </patternFill>
              </fill>
            </x14:dxf>
          </x14:cfRule>
          <xm:sqref>CU25</xm:sqref>
        </x14:conditionalFormatting>
        <x14:conditionalFormatting xmlns:xm="http://schemas.microsoft.com/office/excel/2006/main">
          <x14:cfRule type="cellIs" priority="496" stopIfTrue="1" operator="lessThan" id="{E790116F-645B-4C87-BBCD-27E88CA55563}">
            <xm:f>INDEX('1.Locations'!F2:F32,CO26 + 1)</xm:f>
            <x14:dxf>
              <fill>
                <patternFill>
                  <bgColor indexed="52"/>
                </patternFill>
              </fill>
            </x14:dxf>
          </x14:cfRule>
          <xm:sqref>CT26</xm:sqref>
        </x14:conditionalFormatting>
        <x14:conditionalFormatting xmlns:xm="http://schemas.microsoft.com/office/excel/2006/main">
          <x14:cfRule type="expression" priority="497" stopIfTrue="1" id="{3976CFDF-ED02-41CE-B793-162F7C49AD73}">
            <xm:f>(60 * HOUR(CU26) + MINUTE(CU26)) &gt;(60 * HOUR(INDEX('1.Locations'!G2:G32,CO26 + 1)) +MINUTE(INDEX('1.Locations'!G2:G32,CO26 + 1)))</xm:f>
            <x14:dxf>
              <fill>
                <patternFill>
                  <bgColor indexed="10"/>
                </patternFill>
              </fill>
            </x14:dxf>
          </x14:cfRule>
          <xm:sqref>CU26</xm:sqref>
        </x14:conditionalFormatting>
        <x14:conditionalFormatting xmlns:xm="http://schemas.microsoft.com/office/excel/2006/main">
          <x14:cfRule type="cellIs" priority="498" stopIfTrue="1" operator="lessThan" id="{5838530E-7B47-4CDA-BEAD-DBE0919D7118}">
            <xm:f>INDEX('1.Locations'!F2:F32,CO27 + 1)</xm:f>
            <x14:dxf>
              <fill>
                <patternFill>
                  <bgColor indexed="52"/>
                </patternFill>
              </fill>
            </x14:dxf>
          </x14:cfRule>
          <xm:sqref>CT27</xm:sqref>
        </x14:conditionalFormatting>
        <x14:conditionalFormatting xmlns:xm="http://schemas.microsoft.com/office/excel/2006/main">
          <x14:cfRule type="expression" priority="499" stopIfTrue="1" id="{1D976B50-7D65-4A6B-9F28-8F080107F085}">
            <xm:f>(60 * HOUR(CU27) + MINUTE(CU27)) &gt;(60 * HOUR(INDEX('1.Locations'!G2:G32,CO27 + 1)) +MINUTE(INDEX('1.Locations'!G2:G32,CO27 + 1)))</xm:f>
            <x14:dxf>
              <fill>
                <patternFill>
                  <bgColor indexed="10"/>
                </patternFill>
              </fill>
            </x14:dxf>
          </x14:cfRule>
          <xm:sqref>CU27</xm:sqref>
        </x14:conditionalFormatting>
        <x14:conditionalFormatting xmlns:xm="http://schemas.microsoft.com/office/excel/2006/main">
          <x14:cfRule type="cellIs" priority="500" stopIfTrue="1" operator="lessThan" id="{F92636DD-C420-4051-B99A-D8FC8D6EC12D}">
            <xm:f>INDEX('1.Locations'!F2:F32,CO28 + 1)</xm:f>
            <x14:dxf>
              <fill>
                <patternFill>
                  <bgColor indexed="52"/>
                </patternFill>
              </fill>
            </x14:dxf>
          </x14:cfRule>
          <xm:sqref>CT28</xm:sqref>
        </x14:conditionalFormatting>
        <x14:conditionalFormatting xmlns:xm="http://schemas.microsoft.com/office/excel/2006/main">
          <x14:cfRule type="expression" priority="501" stopIfTrue="1" id="{5F332B3A-65E7-4FE2-8B5B-9C23CE3DABA7}">
            <xm:f>(60 * HOUR(CU28) + MINUTE(CU28)) &gt;(60 * HOUR(INDEX('1.Locations'!G2:G32,CO28 + 1)) +MINUTE(INDEX('1.Locations'!G2:G32,CO28 + 1)))</xm:f>
            <x14:dxf>
              <fill>
                <patternFill>
                  <bgColor indexed="10"/>
                </patternFill>
              </fill>
            </x14:dxf>
          </x14:cfRule>
          <xm:sqref>CU28</xm:sqref>
        </x14:conditionalFormatting>
        <x14:conditionalFormatting xmlns:xm="http://schemas.microsoft.com/office/excel/2006/main">
          <x14:cfRule type="cellIs" priority="502" stopIfTrue="1" operator="lessThan" id="{A23CA727-4F9E-4EAC-8474-5A35646178B0}">
            <xm:f>INDEX('1.Locations'!F2:F32,CO29 + 1)</xm:f>
            <x14:dxf>
              <fill>
                <patternFill>
                  <bgColor indexed="52"/>
                </patternFill>
              </fill>
            </x14:dxf>
          </x14:cfRule>
          <xm:sqref>CT29</xm:sqref>
        </x14:conditionalFormatting>
        <x14:conditionalFormatting xmlns:xm="http://schemas.microsoft.com/office/excel/2006/main">
          <x14:cfRule type="expression" priority="503" stopIfTrue="1" id="{1226838A-D11D-4B8F-8DF2-1A692D2827D7}">
            <xm:f>(60 * HOUR(CU29) + MINUTE(CU29)) &gt;(60 * HOUR(INDEX('1.Locations'!G2:G32,CO29 + 1)) +MINUTE(INDEX('1.Locations'!G2:G32,CO29 + 1)))</xm:f>
            <x14:dxf>
              <fill>
                <patternFill>
                  <bgColor indexed="10"/>
                </patternFill>
              </fill>
            </x14:dxf>
          </x14:cfRule>
          <xm:sqref>CU29</xm:sqref>
        </x14:conditionalFormatting>
        <x14:conditionalFormatting xmlns:xm="http://schemas.microsoft.com/office/excel/2006/main">
          <x14:cfRule type="cellIs" priority="504" stopIfTrue="1" operator="lessThan" id="{1CED9464-16CE-4935-82C8-D48957651096}">
            <xm:f>INDEX('1.Locations'!F2:F32,CO30 + 1)</xm:f>
            <x14:dxf>
              <fill>
                <patternFill>
                  <bgColor indexed="52"/>
                </patternFill>
              </fill>
            </x14:dxf>
          </x14:cfRule>
          <xm:sqref>CT30</xm:sqref>
        </x14:conditionalFormatting>
        <x14:conditionalFormatting xmlns:xm="http://schemas.microsoft.com/office/excel/2006/main">
          <x14:cfRule type="expression" priority="505" stopIfTrue="1" id="{050F723C-80AC-4B59-90C1-460C86C7043A}">
            <xm:f>(60 * HOUR(CU30) + MINUTE(CU30)) &gt;(60 * HOUR(INDEX('1.Locations'!G2:G32,CO30 + 1)) +MINUTE(INDEX('1.Locations'!G2:G32,CO30 + 1)))</xm:f>
            <x14:dxf>
              <fill>
                <patternFill>
                  <bgColor indexed="10"/>
                </patternFill>
              </fill>
            </x14:dxf>
          </x14:cfRule>
          <xm:sqref>CU30</xm:sqref>
        </x14:conditionalFormatting>
        <x14:conditionalFormatting xmlns:xm="http://schemas.microsoft.com/office/excel/2006/main">
          <x14:cfRule type="cellIs" priority="506" stopIfTrue="1" operator="lessThan" id="{8F38CF45-7AC9-49C0-97EE-274A1DD905C3}">
            <xm:f>INDEX('1.Locations'!F2:F32,CO31 + 1)</xm:f>
            <x14:dxf>
              <fill>
                <patternFill>
                  <bgColor indexed="52"/>
                </patternFill>
              </fill>
            </x14:dxf>
          </x14:cfRule>
          <xm:sqref>CT31</xm:sqref>
        </x14:conditionalFormatting>
        <x14:conditionalFormatting xmlns:xm="http://schemas.microsoft.com/office/excel/2006/main">
          <x14:cfRule type="expression" priority="507" stopIfTrue="1" id="{A6E843ED-8AFE-498A-8D80-93497592BD02}">
            <xm:f>(60 * HOUR(CU31) + MINUTE(CU31)) &gt;(60 * HOUR(INDEX('1.Locations'!G2:G32,CO31 + 1)) +MINUTE(INDEX('1.Locations'!G2:G32,CO31 + 1)))</xm:f>
            <x14:dxf>
              <fill>
                <patternFill>
                  <bgColor indexed="10"/>
                </patternFill>
              </fill>
            </x14:dxf>
          </x14:cfRule>
          <xm:sqref>CU31</xm:sqref>
        </x14:conditionalFormatting>
        <x14:conditionalFormatting xmlns:xm="http://schemas.microsoft.com/office/excel/2006/main">
          <x14:cfRule type="cellIs" priority="508" stopIfTrue="1" operator="lessThan" id="{BB9C57C6-8D59-4CE4-91C0-4C59362D1E12}">
            <xm:f>INDEX('1.Locations'!F2:F32,CO32 + 1)</xm:f>
            <x14:dxf>
              <fill>
                <patternFill>
                  <bgColor indexed="52"/>
                </patternFill>
              </fill>
            </x14:dxf>
          </x14:cfRule>
          <xm:sqref>CT32</xm:sqref>
        </x14:conditionalFormatting>
        <x14:conditionalFormatting xmlns:xm="http://schemas.microsoft.com/office/excel/2006/main">
          <x14:cfRule type="expression" priority="509" stopIfTrue="1" id="{2738F79E-E0A0-4785-A22D-7F569F8604FD}">
            <xm:f>(60 * HOUR(CU32) + MINUTE(CU32)) &gt;(60 * HOUR(INDEX('1.Locations'!G2:G32,CO32 + 1)) +MINUTE(INDEX('1.Locations'!G2:G32,CO32 + 1)))</xm:f>
            <x14:dxf>
              <fill>
                <patternFill>
                  <bgColor indexed="10"/>
                </patternFill>
              </fill>
            </x14:dxf>
          </x14:cfRule>
          <xm:sqref>CU32</xm:sqref>
        </x14:conditionalFormatting>
        <x14:conditionalFormatting xmlns:xm="http://schemas.microsoft.com/office/excel/2006/main">
          <x14:cfRule type="cellIs" priority="510" stopIfTrue="1" operator="lessThan" id="{0CB21940-BB53-436E-A698-C53896544914}">
            <xm:f>INDEX('1.Locations'!F2:F32,CO33 + 1)</xm:f>
            <x14:dxf>
              <fill>
                <patternFill>
                  <bgColor indexed="52"/>
                </patternFill>
              </fill>
            </x14:dxf>
          </x14:cfRule>
          <xm:sqref>CT33</xm:sqref>
        </x14:conditionalFormatting>
        <x14:conditionalFormatting xmlns:xm="http://schemas.microsoft.com/office/excel/2006/main">
          <x14:cfRule type="expression" priority="511" stopIfTrue="1" id="{1B488BB7-1715-41EC-A0E6-FA80A095C73C}">
            <xm:f>(60 * HOUR(CU33) + MINUTE(CU33)) &gt;(60 * HOUR(INDEX('1.Locations'!G2:G32,CO33 + 1)) +MINUTE(INDEX('1.Locations'!G2:G32,CO33 + 1)))</xm:f>
            <x14:dxf>
              <fill>
                <patternFill>
                  <bgColor indexed="10"/>
                </patternFill>
              </fill>
            </x14:dxf>
          </x14:cfRule>
          <xm:sqref>CU33</xm:sqref>
        </x14:conditionalFormatting>
        <x14:conditionalFormatting xmlns:xm="http://schemas.microsoft.com/office/excel/2006/main">
          <x14:cfRule type="cellIs" priority="512" stopIfTrue="1" operator="lessThan" id="{68B9D0F1-7794-40D7-B5F6-696A6131AF3A}">
            <xm:f>INDEX('1.Locations'!F2:F32,CO34 + 1)</xm:f>
            <x14:dxf>
              <fill>
                <patternFill>
                  <bgColor indexed="52"/>
                </patternFill>
              </fill>
            </x14:dxf>
          </x14:cfRule>
          <xm:sqref>CT34</xm:sqref>
        </x14:conditionalFormatting>
        <x14:conditionalFormatting xmlns:xm="http://schemas.microsoft.com/office/excel/2006/main">
          <x14:cfRule type="expression" priority="513" stopIfTrue="1" id="{71DA8025-58F9-4ADF-B194-D270CA3AB70E}">
            <xm:f>(60 * HOUR(CU34) + MINUTE(CU34)) &gt;(60 * HOUR(INDEX('1.Locations'!G2:G32,CO34 + 1)) +MINUTE(INDEX('1.Locations'!G2:G32,CO34 + 1)))</xm:f>
            <x14:dxf>
              <fill>
                <patternFill>
                  <bgColor indexed="10"/>
                </patternFill>
              </fill>
            </x14:dxf>
          </x14:cfRule>
          <xm:sqref>CU34</xm:sqref>
        </x14:conditionalFormatting>
        <x14:conditionalFormatting xmlns:xm="http://schemas.microsoft.com/office/excel/2006/main">
          <x14:cfRule type="cellIs" priority="514" stopIfTrue="1" operator="lessThan" id="{1FEB26C6-8629-4F48-B1D6-B9DAC56BB14E}">
            <xm:f>INDEX('1.Locations'!F2:F32,CO35 + 1)</xm:f>
            <x14:dxf>
              <fill>
                <patternFill>
                  <bgColor indexed="52"/>
                </patternFill>
              </fill>
            </x14:dxf>
          </x14:cfRule>
          <xm:sqref>CT35</xm:sqref>
        </x14:conditionalFormatting>
        <x14:conditionalFormatting xmlns:xm="http://schemas.microsoft.com/office/excel/2006/main">
          <x14:cfRule type="expression" priority="515" stopIfTrue="1" id="{D2E2513D-389D-486C-9893-2042EF7F1F86}">
            <xm:f>(60 * HOUR(CU35) + MINUTE(CU35)) &gt;(60 * HOUR(INDEX('1.Locations'!G2:G32,CO35 + 1)) +MINUTE(INDEX('1.Locations'!G2:G32,CO35 + 1)))</xm:f>
            <x14:dxf>
              <fill>
                <patternFill>
                  <bgColor indexed="10"/>
                </patternFill>
              </fill>
            </x14:dxf>
          </x14:cfRule>
          <xm:sqref>CU35</xm:sqref>
        </x14:conditionalFormatting>
        <x14:conditionalFormatting xmlns:xm="http://schemas.microsoft.com/office/excel/2006/main">
          <x14:cfRule type="cellIs" priority="516" stopIfTrue="1" operator="lessThan" id="{998181F2-F4EB-4B08-8FA9-FDF5D62EDDD5}">
            <xm:f>INDEX('1.Locations'!F2:F32,CO36 + 1)</xm:f>
            <x14:dxf>
              <fill>
                <patternFill>
                  <bgColor indexed="52"/>
                </patternFill>
              </fill>
            </x14:dxf>
          </x14:cfRule>
          <xm:sqref>CT36</xm:sqref>
        </x14:conditionalFormatting>
        <x14:conditionalFormatting xmlns:xm="http://schemas.microsoft.com/office/excel/2006/main">
          <x14:cfRule type="expression" priority="517" stopIfTrue="1" id="{301DB135-4DD3-4512-8A7A-46253795D661}">
            <xm:f>(60 * HOUR(CU36) + MINUTE(CU36)) &gt;(60 * HOUR(INDEX('1.Locations'!G2:G32,CO36 + 1)) +MINUTE(INDEX('1.Locations'!G2:G32,CO36 + 1)))</xm:f>
            <x14:dxf>
              <fill>
                <patternFill>
                  <bgColor indexed="10"/>
                </patternFill>
              </fill>
            </x14:dxf>
          </x14:cfRule>
          <xm:sqref>CU36</xm:sqref>
        </x14:conditionalFormatting>
        <x14:conditionalFormatting xmlns:xm="http://schemas.microsoft.com/office/excel/2006/main">
          <x14:cfRule type="cellIs" priority="518" stopIfTrue="1" operator="greaterThan" id="{EE5FD8D4-B181-4918-9102-87E737A4AFAC}">
            <xm:f>'3.Vehicles'!$F$2</xm:f>
            <x14:dxf>
              <fill>
                <patternFill>
                  <bgColor indexed="10"/>
                </patternFill>
              </fill>
            </x14:dxf>
          </x14:cfRule>
          <xm:sqref>CR6:CR36</xm:sqref>
        </x14:conditionalFormatting>
        <x14:conditionalFormatting xmlns:xm="http://schemas.microsoft.com/office/excel/2006/main">
          <x14:cfRule type="cellIs" priority="519" stopIfTrue="1" operator="greaterThan" id="{226DE96F-FD98-4D35-9CD8-E252EDA7B184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CZ5:CZ36</xm:sqref>
        </x14:conditionalFormatting>
        <x14:conditionalFormatting xmlns:xm="http://schemas.microsoft.com/office/excel/2006/main">
          <x14:cfRule type="cellIs" priority="521" stopIfTrue="1" operator="greaterThan" id="{F2A47BC2-5321-4EBE-813F-B3A0978FCA0E}">
            <xm:f>'3.Vehicles'!$H$2</xm:f>
            <x14:dxf>
              <fill>
                <patternFill>
                  <bgColor indexed="10"/>
                </patternFill>
              </fill>
            </x14:dxf>
          </x14:cfRule>
          <xm:sqref>CS6:CS36</xm:sqref>
        </x14:conditionalFormatting>
        <x14:conditionalFormatting xmlns:xm="http://schemas.microsoft.com/office/excel/2006/main">
          <x14:cfRule type="cellIs" priority="522" stopIfTrue="1" operator="greaterThan" id="{96DE224A-386B-4E0F-8E34-C26BB201A64E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CV6:CV36</xm:sqref>
        </x14:conditionalFormatting>
        <x14:conditionalFormatting xmlns:xm="http://schemas.microsoft.com/office/excel/2006/main">
          <x14:cfRule type="expression" priority="524" stopIfTrue="1" id="{E9D28110-69F7-4DE9-9D30-1133B9DBFB6D}">
            <xm:f>(60 * HOUR(DJ5) + MINUTE(DJ5)) &gt;(60 * HOUR(INDEX('1.Locations'!G2:G32,DD5 + 1)) +MINUTE(INDEX('1.Locations'!G2:G32,DD5 + 1)))</xm:f>
            <x14:dxf>
              <fill>
                <patternFill>
                  <bgColor indexed="10"/>
                </patternFill>
              </fill>
            </x14:dxf>
          </x14:cfRule>
          <xm:sqref>DJ5</xm:sqref>
        </x14:conditionalFormatting>
        <x14:conditionalFormatting xmlns:xm="http://schemas.microsoft.com/office/excel/2006/main">
          <x14:cfRule type="cellIs" priority="525" stopIfTrue="1" operator="lessThan" id="{72B3DA3E-F790-4573-951F-8A7AB8EA420C}">
            <xm:f>INDEX('1.Locations'!F2:F32,DD6 + 1)</xm:f>
            <x14:dxf>
              <fill>
                <patternFill>
                  <bgColor indexed="52"/>
                </patternFill>
              </fill>
            </x14:dxf>
          </x14:cfRule>
          <xm:sqref>DI6</xm:sqref>
        </x14:conditionalFormatting>
        <x14:conditionalFormatting xmlns:xm="http://schemas.microsoft.com/office/excel/2006/main">
          <x14:cfRule type="expression" priority="526" stopIfTrue="1" id="{AA08F84F-3A51-4D0C-A3CF-6E5B178648D7}">
            <xm:f>(60 * HOUR(DJ6) + MINUTE(DJ6)) &gt;(60 * HOUR(INDEX('1.Locations'!G2:G32,DD6 + 1)) +MINUTE(INDEX('1.Locations'!G2:G32,DD6 + 1)))</xm:f>
            <x14:dxf>
              <fill>
                <patternFill>
                  <bgColor indexed="10"/>
                </patternFill>
              </fill>
            </x14:dxf>
          </x14:cfRule>
          <xm:sqref>DJ6</xm:sqref>
        </x14:conditionalFormatting>
        <x14:conditionalFormatting xmlns:xm="http://schemas.microsoft.com/office/excel/2006/main">
          <x14:cfRule type="cellIs" priority="527" stopIfTrue="1" operator="lessThan" id="{B5DE8222-677C-421F-8903-4A7B652119A2}">
            <xm:f>INDEX('1.Locations'!F2:F32,DD7 + 1)</xm:f>
            <x14:dxf>
              <fill>
                <patternFill>
                  <bgColor indexed="52"/>
                </patternFill>
              </fill>
            </x14:dxf>
          </x14:cfRule>
          <xm:sqref>DI7</xm:sqref>
        </x14:conditionalFormatting>
        <x14:conditionalFormatting xmlns:xm="http://schemas.microsoft.com/office/excel/2006/main">
          <x14:cfRule type="expression" priority="528" stopIfTrue="1" id="{E7F73977-F6A0-4BC8-B091-8B86003BE664}">
            <xm:f>(60 * HOUR(DJ7) + MINUTE(DJ7)) &gt;(60 * HOUR(INDEX('1.Locations'!G2:G32,DD7 + 1)) +MINUTE(INDEX('1.Locations'!G2:G32,DD7 + 1)))</xm:f>
            <x14:dxf>
              <fill>
                <patternFill>
                  <bgColor indexed="10"/>
                </patternFill>
              </fill>
            </x14:dxf>
          </x14:cfRule>
          <xm:sqref>DJ7</xm:sqref>
        </x14:conditionalFormatting>
        <x14:conditionalFormatting xmlns:xm="http://schemas.microsoft.com/office/excel/2006/main">
          <x14:cfRule type="cellIs" priority="529" stopIfTrue="1" operator="lessThan" id="{982365F0-3A26-48F6-98F3-1E340751EE8C}">
            <xm:f>INDEX('1.Locations'!F2:F32,DD8 + 1)</xm:f>
            <x14:dxf>
              <fill>
                <patternFill>
                  <bgColor indexed="52"/>
                </patternFill>
              </fill>
            </x14:dxf>
          </x14:cfRule>
          <xm:sqref>DI8</xm:sqref>
        </x14:conditionalFormatting>
        <x14:conditionalFormatting xmlns:xm="http://schemas.microsoft.com/office/excel/2006/main">
          <x14:cfRule type="expression" priority="530" stopIfTrue="1" id="{6EDE1701-1FE7-415C-B947-01D46D7CCF38}">
            <xm:f>(60 * HOUR(DJ8) + MINUTE(DJ8)) &gt;(60 * HOUR(INDEX('1.Locations'!G2:G32,DD8 + 1)) +MINUTE(INDEX('1.Locations'!G2:G32,DD8 + 1)))</xm:f>
            <x14:dxf>
              <fill>
                <patternFill>
                  <bgColor indexed="10"/>
                </patternFill>
              </fill>
            </x14:dxf>
          </x14:cfRule>
          <xm:sqref>DJ8</xm:sqref>
        </x14:conditionalFormatting>
        <x14:conditionalFormatting xmlns:xm="http://schemas.microsoft.com/office/excel/2006/main">
          <x14:cfRule type="cellIs" priority="531" stopIfTrue="1" operator="lessThan" id="{4A42A667-6884-48EA-B4B1-B26E841A9231}">
            <xm:f>INDEX('1.Locations'!F2:F32,DD9 + 1)</xm:f>
            <x14:dxf>
              <fill>
                <patternFill>
                  <bgColor indexed="52"/>
                </patternFill>
              </fill>
            </x14:dxf>
          </x14:cfRule>
          <xm:sqref>DI9</xm:sqref>
        </x14:conditionalFormatting>
        <x14:conditionalFormatting xmlns:xm="http://schemas.microsoft.com/office/excel/2006/main">
          <x14:cfRule type="expression" priority="532" stopIfTrue="1" id="{74F590D1-C3C1-41DC-BB84-ECAAC0AACBB1}">
            <xm:f>(60 * HOUR(DJ9) + MINUTE(DJ9)) &gt;(60 * HOUR(INDEX('1.Locations'!G2:G32,DD9 + 1)) +MINUTE(INDEX('1.Locations'!G2:G32,DD9 + 1)))</xm:f>
            <x14:dxf>
              <fill>
                <patternFill>
                  <bgColor indexed="10"/>
                </patternFill>
              </fill>
            </x14:dxf>
          </x14:cfRule>
          <xm:sqref>DJ9</xm:sqref>
        </x14:conditionalFormatting>
        <x14:conditionalFormatting xmlns:xm="http://schemas.microsoft.com/office/excel/2006/main">
          <x14:cfRule type="cellIs" priority="533" stopIfTrue="1" operator="lessThan" id="{13A90AD4-1980-479E-96BE-FB17802CCA2A}">
            <xm:f>INDEX('1.Locations'!F2:F32,DD10 + 1)</xm:f>
            <x14:dxf>
              <fill>
                <patternFill>
                  <bgColor indexed="52"/>
                </patternFill>
              </fill>
            </x14:dxf>
          </x14:cfRule>
          <xm:sqref>DI10</xm:sqref>
        </x14:conditionalFormatting>
        <x14:conditionalFormatting xmlns:xm="http://schemas.microsoft.com/office/excel/2006/main">
          <x14:cfRule type="expression" priority="534" stopIfTrue="1" id="{211828F5-C795-4F86-8FEE-2FA9F14C678B}">
            <xm:f>(60 * HOUR(DJ10) + MINUTE(DJ10)) &gt;(60 * HOUR(INDEX('1.Locations'!G2:G32,DD10 + 1)) +MINUTE(INDEX('1.Locations'!G2:G32,DD10 + 1)))</xm:f>
            <x14:dxf>
              <fill>
                <patternFill>
                  <bgColor indexed="10"/>
                </patternFill>
              </fill>
            </x14:dxf>
          </x14:cfRule>
          <xm:sqref>DJ10</xm:sqref>
        </x14:conditionalFormatting>
        <x14:conditionalFormatting xmlns:xm="http://schemas.microsoft.com/office/excel/2006/main">
          <x14:cfRule type="cellIs" priority="535" stopIfTrue="1" operator="lessThan" id="{6CBAAAE4-D415-49D9-BE9F-81688B4F3055}">
            <xm:f>INDEX('1.Locations'!F2:F32,DD11 + 1)</xm:f>
            <x14:dxf>
              <fill>
                <patternFill>
                  <bgColor indexed="52"/>
                </patternFill>
              </fill>
            </x14:dxf>
          </x14:cfRule>
          <xm:sqref>DI11</xm:sqref>
        </x14:conditionalFormatting>
        <x14:conditionalFormatting xmlns:xm="http://schemas.microsoft.com/office/excel/2006/main">
          <x14:cfRule type="expression" priority="536" stopIfTrue="1" id="{E5B6E869-756D-46B7-9410-1C2EA7BE3EF6}">
            <xm:f>(60 * HOUR(DJ11) + MINUTE(DJ11)) &gt;(60 * HOUR(INDEX('1.Locations'!G2:G32,DD11 + 1)) +MINUTE(INDEX('1.Locations'!G2:G32,DD11 + 1)))</xm:f>
            <x14:dxf>
              <fill>
                <patternFill>
                  <bgColor indexed="10"/>
                </patternFill>
              </fill>
            </x14:dxf>
          </x14:cfRule>
          <xm:sqref>DJ11</xm:sqref>
        </x14:conditionalFormatting>
        <x14:conditionalFormatting xmlns:xm="http://schemas.microsoft.com/office/excel/2006/main">
          <x14:cfRule type="cellIs" priority="537" stopIfTrue="1" operator="lessThan" id="{BBA76A24-D416-45BB-85B6-8B1CFC5E5CB7}">
            <xm:f>INDEX('1.Locations'!F2:F32,DD12 + 1)</xm:f>
            <x14:dxf>
              <fill>
                <patternFill>
                  <bgColor indexed="52"/>
                </patternFill>
              </fill>
            </x14:dxf>
          </x14:cfRule>
          <xm:sqref>DI12</xm:sqref>
        </x14:conditionalFormatting>
        <x14:conditionalFormatting xmlns:xm="http://schemas.microsoft.com/office/excel/2006/main">
          <x14:cfRule type="expression" priority="538" stopIfTrue="1" id="{FA4AAD67-97BD-4661-BD1B-301EF71E00EB}">
            <xm:f>(60 * HOUR(DJ12) + MINUTE(DJ12)) &gt;(60 * HOUR(INDEX('1.Locations'!G2:G32,DD12 + 1)) +MINUTE(INDEX('1.Locations'!G2:G32,DD12 + 1)))</xm:f>
            <x14:dxf>
              <fill>
                <patternFill>
                  <bgColor indexed="10"/>
                </patternFill>
              </fill>
            </x14:dxf>
          </x14:cfRule>
          <xm:sqref>DJ12</xm:sqref>
        </x14:conditionalFormatting>
        <x14:conditionalFormatting xmlns:xm="http://schemas.microsoft.com/office/excel/2006/main">
          <x14:cfRule type="cellIs" priority="539" stopIfTrue="1" operator="lessThan" id="{7B764748-97BF-405E-AA6B-82449ECCD163}">
            <xm:f>INDEX('1.Locations'!F2:F32,DD13 + 1)</xm:f>
            <x14:dxf>
              <fill>
                <patternFill>
                  <bgColor indexed="52"/>
                </patternFill>
              </fill>
            </x14:dxf>
          </x14:cfRule>
          <xm:sqref>DI13</xm:sqref>
        </x14:conditionalFormatting>
        <x14:conditionalFormatting xmlns:xm="http://schemas.microsoft.com/office/excel/2006/main">
          <x14:cfRule type="expression" priority="540" stopIfTrue="1" id="{60744529-9170-41B5-BBD7-2B926CDD5200}">
            <xm:f>(60 * HOUR(DJ13) + MINUTE(DJ13)) &gt;(60 * HOUR(INDEX('1.Locations'!G2:G32,DD13 + 1)) +MINUTE(INDEX('1.Locations'!G2:G32,DD13 + 1)))</xm:f>
            <x14:dxf>
              <fill>
                <patternFill>
                  <bgColor indexed="10"/>
                </patternFill>
              </fill>
            </x14:dxf>
          </x14:cfRule>
          <xm:sqref>DJ13</xm:sqref>
        </x14:conditionalFormatting>
        <x14:conditionalFormatting xmlns:xm="http://schemas.microsoft.com/office/excel/2006/main">
          <x14:cfRule type="cellIs" priority="541" stopIfTrue="1" operator="lessThan" id="{EDA6F3EF-5103-4E34-B408-EDA53FD0F0C8}">
            <xm:f>INDEX('1.Locations'!F2:F32,DD14 + 1)</xm:f>
            <x14:dxf>
              <fill>
                <patternFill>
                  <bgColor indexed="52"/>
                </patternFill>
              </fill>
            </x14:dxf>
          </x14:cfRule>
          <xm:sqref>DI14</xm:sqref>
        </x14:conditionalFormatting>
        <x14:conditionalFormatting xmlns:xm="http://schemas.microsoft.com/office/excel/2006/main">
          <x14:cfRule type="expression" priority="542" stopIfTrue="1" id="{A2A1AD09-290D-4C08-8DFC-82CF425270C3}">
            <xm:f>(60 * HOUR(DJ14) + MINUTE(DJ14)) &gt;(60 * HOUR(INDEX('1.Locations'!G2:G32,DD14 + 1)) +MINUTE(INDEX('1.Locations'!G2:G32,DD14 + 1)))</xm:f>
            <x14:dxf>
              <fill>
                <patternFill>
                  <bgColor indexed="10"/>
                </patternFill>
              </fill>
            </x14:dxf>
          </x14:cfRule>
          <xm:sqref>DJ14</xm:sqref>
        </x14:conditionalFormatting>
        <x14:conditionalFormatting xmlns:xm="http://schemas.microsoft.com/office/excel/2006/main">
          <x14:cfRule type="cellIs" priority="543" stopIfTrue="1" operator="lessThan" id="{90D54038-DFF5-4EEF-AE87-953FB1063D9E}">
            <xm:f>INDEX('1.Locations'!F2:F32,DD15 + 1)</xm:f>
            <x14:dxf>
              <fill>
                <patternFill>
                  <bgColor indexed="52"/>
                </patternFill>
              </fill>
            </x14:dxf>
          </x14:cfRule>
          <xm:sqref>DI15</xm:sqref>
        </x14:conditionalFormatting>
        <x14:conditionalFormatting xmlns:xm="http://schemas.microsoft.com/office/excel/2006/main">
          <x14:cfRule type="expression" priority="544" stopIfTrue="1" id="{C294B32F-A215-475B-8B78-62EBC2A5EA28}">
            <xm:f>(60 * HOUR(DJ15) + MINUTE(DJ15)) &gt;(60 * HOUR(INDEX('1.Locations'!G2:G32,DD15 + 1)) +MINUTE(INDEX('1.Locations'!G2:G32,DD15 + 1)))</xm:f>
            <x14:dxf>
              <fill>
                <patternFill>
                  <bgColor indexed="10"/>
                </patternFill>
              </fill>
            </x14:dxf>
          </x14:cfRule>
          <xm:sqref>DJ15</xm:sqref>
        </x14:conditionalFormatting>
        <x14:conditionalFormatting xmlns:xm="http://schemas.microsoft.com/office/excel/2006/main">
          <x14:cfRule type="cellIs" priority="545" stopIfTrue="1" operator="lessThan" id="{4DBC12DB-A594-41B9-89BD-4913F38F0A8F}">
            <xm:f>INDEX('1.Locations'!F2:F32,DD16 + 1)</xm:f>
            <x14:dxf>
              <fill>
                <patternFill>
                  <bgColor indexed="52"/>
                </patternFill>
              </fill>
            </x14:dxf>
          </x14:cfRule>
          <xm:sqref>DI16</xm:sqref>
        </x14:conditionalFormatting>
        <x14:conditionalFormatting xmlns:xm="http://schemas.microsoft.com/office/excel/2006/main">
          <x14:cfRule type="expression" priority="546" stopIfTrue="1" id="{0AE7FE6A-8DFF-41F8-9E40-CA7151292382}">
            <xm:f>(60 * HOUR(DJ16) + MINUTE(DJ16)) &gt;(60 * HOUR(INDEX('1.Locations'!G2:G32,DD16 + 1)) +MINUTE(INDEX('1.Locations'!G2:G32,DD16 + 1)))</xm:f>
            <x14:dxf>
              <fill>
                <patternFill>
                  <bgColor indexed="10"/>
                </patternFill>
              </fill>
            </x14:dxf>
          </x14:cfRule>
          <xm:sqref>DJ16</xm:sqref>
        </x14:conditionalFormatting>
        <x14:conditionalFormatting xmlns:xm="http://schemas.microsoft.com/office/excel/2006/main">
          <x14:cfRule type="cellIs" priority="547" stopIfTrue="1" operator="lessThan" id="{2CFDA766-ED26-41A5-84F9-5804B9573ACD}">
            <xm:f>INDEX('1.Locations'!F2:F32,DD17 + 1)</xm:f>
            <x14:dxf>
              <fill>
                <patternFill>
                  <bgColor indexed="52"/>
                </patternFill>
              </fill>
            </x14:dxf>
          </x14:cfRule>
          <xm:sqref>DI17</xm:sqref>
        </x14:conditionalFormatting>
        <x14:conditionalFormatting xmlns:xm="http://schemas.microsoft.com/office/excel/2006/main">
          <x14:cfRule type="expression" priority="548" stopIfTrue="1" id="{471F0FC4-462F-444E-BD54-862B8EDDB5C0}">
            <xm:f>(60 * HOUR(DJ17) + MINUTE(DJ17)) &gt;(60 * HOUR(INDEX('1.Locations'!G2:G32,DD17 + 1)) +MINUTE(INDEX('1.Locations'!G2:G32,DD17 + 1)))</xm:f>
            <x14:dxf>
              <fill>
                <patternFill>
                  <bgColor indexed="10"/>
                </patternFill>
              </fill>
            </x14:dxf>
          </x14:cfRule>
          <xm:sqref>DJ17</xm:sqref>
        </x14:conditionalFormatting>
        <x14:conditionalFormatting xmlns:xm="http://schemas.microsoft.com/office/excel/2006/main">
          <x14:cfRule type="cellIs" priority="549" stopIfTrue="1" operator="lessThan" id="{9FA7F475-54F1-4B5D-BB36-0CF05218EE9A}">
            <xm:f>INDEX('1.Locations'!F2:F32,DD18 + 1)</xm:f>
            <x14:dxf>
              <fill>
                <patternFill>
                  <bgColor indexed="52"/>
                </patternFill>
              </fill>
            </x14:dxf>
          </x14:cfRule>
          <xm:sqref>DI18</xm:sqref>
        </x14:conditionalFormatting>
        <x14:conditionalFormatting xmlns:xm="http://schemas.microsoft.com/office/excel/2006/main">
          <x14:cfRule type="expression" priority="550" stopIfTrue="1" id="{B43ABE51-497A-437F-BBFD-062DED58A717}">
            <xm:f>(60 * HOUR(DJ18) + MINUTE(DJ18)) &gt;(60 * HOUR(INDEX('1.Locations'!G2:G32,DD18 + 1)) +MINUTE(INDEX('1.Locations'!G2:G32,DD18 + 1)))</xm:f>
            <x14:dxf>
              <fill>
                <patternFill>
                  <bgColor indexed="10"/>
                </patternFill>
              </fill>
            </x14:dxf>
          </x14:cfRule>
          <xm:sqref>DJ18</xm:sqref>
        </x14:conditionalFormatting>
        <x14:conditionalFormatting xmlns:xm="http://schemas.microsoft.com/office/excel/2006/main">
          <x14:cfRule type="cellIs" priority="551" stopIfTrue="1" operator="lessThan" id="{DD1E8304-3D77-4CB4-86F0-782060E7FCF1}">
            <xm:f>INDEX('1.Locations'!F2:F32,DD19 + 1)</xm:f>
            <x14:dxf>
              <fill>
                <patternFill>
                  <bgColor indexed="52"/>
                </patternFill>
              </fill>
            </x14:dxf>
          </x14:cfRule>
          <xm:sqref>DI19</xm:sqref>
        </x14:conditionalFormatting>
        <x14:conditionalFormatting xmlns:xm="http://schemas.microsoft.com/office/excel/2006/main">
          <x14:cfRule type="expression" priority="552" stopIfTrue="1" id="{6F975AF5-78F3-4051-8930-E5A7C1A5C128}">
            <xm:f>(60 * HOUR(DJ19) + MINUTE(DJ19)) &gt;(60 * HOUR(INDEX('1.Locations'!G2:G32,DD19 + 1)) +MINUTE(INDEX('1.Locations'!G2:G32,DD19 + 1)))</xm:f>
            <x14:dxf>
              <fill>
                <patternFill>
                  <bgColor indexed="10"/>
                </patternFill>
              </fill>
            </x14:dxf>
          </x14:cfRule>
          <xm:sqref>DJ19</xm:sqref>
        </x14:conditionalFormatting>
        <x14:conditionalFormatting xmlns:xm="http://schemas.microsoft.com/office/excel/2006/main">
          <x14:cfRule type="cellIs" priority="553" stopIfTrue="1" operator="lessThan" id="{FB84EE18-BD41-43E8-AC14-15969DBD27DF}">
            <xm:f>INDEX('1.Locations'!F2:F32,DD20 + 1)</xm:f>
            <x14:dxf>
              <fill>
                <patternFill>
                  <bgColor indexed="52"/>
                </patternFill>
              </fill>
            </x14:dxf>
          </x14:cfRule>
          <xm:sqref>DI20</xm:sqref>
        </x14:conditionalFormatting>
        <x14:conditionalFormatting xmlns:xm="http://schemas.microsoft.com/office/excel/2006/main">
          <x14:cfRule type="expression" priority="554" stopIfTrue="1" id="{A3A3C20F-53D6-456F-BC3D-A05ADF6BCC1C}">
            <xm:f>(60 * HOUR(DJ20) + MINUTE(DJ20)) &gt;(60 * HOUR(INDEX('1.Locations'!G2:G32,DD20 + 1)) +MINUTE(INDEX('1.Locations'!G2:G32,DD20 + 1)))</xm:f>
            <x14:dxf>
              <fill>
                <patternFill>
                  <bgColor indexed="10"/>
                </patternFill>
              </fill>
            </x14:dxf>
          </x14:cfRule>
          <xm:sqref>DJ20</xm:sqref>
        </x14:conditionalFormatting>
        <x14:conditionalFormatting xmlns:xm="http://schemas.microsoft.com/office/excel/2006/main">
          <x14:cfRule type="cellIs" priority="555" stopIfTrue="1" operator="lessThan" id="{BA9C844B-39DF-4D23-8185-0B3C3BBEF995}">
            <xm:f>INDEX('1.Locations'!F2:F32,DD21 + 1)</xm:f>
            <x14:dxf>
              <fill>
                <patternFill>
                  <bgColor indexed="52"/>
                </patternFill>
              </fill>
            </x14:dxf>
          </x14:cfRule>
          <xm:sqref>DI21</xm:sqref>
        </x14:conditionalFormatting>
        <x14:conditionalFormatting xmlns:xm="http://schemas.microsoft.com/office/excel/2006/main">
          <x14:cfRule type="expression" priority="556" stopIfTrue="1" id="{AF0901EC-0F1C-4AE1-9F0A-E28F6D087170}">
            <xm:f>(60 * HOUR(DJ21) + MINUTE(DJ21)) &gt;(60 * HOUR(INDEX('1.Locations'!G2:G32,DD21 + 1)) +MINUTE(INDEX('1.Locations'!G2:G32,DD21 + 1)))</xm:f>
            <x14:dxf>
              <fill>
                <patternFill>
                  <bgColor indexed="10"/>
                </patternFill>
              </fill>
            </x14:dxf>
          </x14:cfRule>
          <xm:sqref>DJ21</xm:sqref>
        </x14:conditionalFormatting>
        <x14:conditionalFormatting xmlns:xm="http://schemas.microsoft.com/office/excel/2006/main">
          <x14:cfRule type="cellIs" priority="557" stopIfTrue="1" operator="lessThan" id="{E1404A53-17F9-47F7-BB46-9D1D9AD14BC3}">
            <xm:f>INDEX('1.Locations'!F2:F32,DD22 + 1)</xm:f>
            <x14:dxf>
              <fill>
                <patternFill>
                  <bgColor indexed="52"/>
                </patternFill>
              </fill>
            </x14:dxf>
          </x14:cfRule>
          <xm:sqref>DI22</xm:sqref>
        </x14:conditionalFormatting>
        <x14:conditionalFormatting xmlns:xm="http://schemas.microsoft.com/office/excel/2006/main">
          <x14:cfRule type="expression" priority="558" stopIfTrue="1" id="{73C9BBCA-E276-43CD-94FD-436BF866DFD7}">
            <xm:f>(60 * HOUR(DJ22) + MINUTE(DJ22)) &gt;(60 * HOUR(INDEX('1.Locations'!G2:G32,DD22 + 1)) +MINUTE(INDEX('1.Locations'!G2:G32,DD22 + 1)))</xm:f>
            <x14:dxf>
              <fill>
                <patternFill>
                  <bgColor indexed="10"/>
                </patternFill>
              </fill>
            </x14:dxf>
          </x14:cfRule>
          <xm:sqref>DJ22</xm:sqref>
        </x14:conditionalFormatting>
        <x14:conditionalFormatting xmlns:xm="http://schemas.microsoft.com/office/excel/2006/main">
          <x14:cfRule type="cellIs" priority="559" stopIfTrue="1" operator="lessThan" id="{48FAF514-F7DF-49E8-B4A9-6A58A647FD31}">
            <xm:f>INDEX('1.Locations'!F2:F32,DD23 + 1)</xm:f>
            <x14:dxf>
              <fill>
                <patternFill>
                  <bgColor indexed="52"/>
                </patternFill>
              </fill>
            </x14:dxf>
          </x14:cfRule>
          <xm:sqref>DI23</xm:sqref>
        </x14:conditionalFormatting>
        <x14:conditionalFormatting xmlns:xm="http://schemas.microsoft.com/office/excel/2006/main">
          <x14:cfRule type="expression" priority="560" stopIfTrue="1" id="{194639A2-987E-4122-B207-18FB43D7E32B}">
            <xm:f>(60 * HOUR(DJ23) + MINUTE(DJ23)) &gt;(60 * HOUR(INDEX('1.Locations'!G2:G32,DD23 + 1)) +MINUTE(INDEX('1.Locations'!G2:G32,DD23 + 1)))</xm:f>
            <x14:dxf>
              <fill>
                <patternFill>
                  <bgColor indexed="10"/>
                </patternFill>
              </fill>
            </x14:dxf>
          </x14:cfRule>
          <xm:sqref>DJ23</xm:sqref>
        </x14:conditionalFormatting>
        <x14:conditionalFormatting xmlns:xm="http://schemas.microsoft.com/office/excel/2006/main">
          <x14:cfRule type="cellIs" priority="561" stopIfTrue="1" operator="lessThan" id="{753350C7-CCAF-4E37-81DA-CC1244904B17}">
            <xm:f>INDEX('1.Locations'!F2:F32,DD24 + 1)</xm:f>
            <x14:dxf>
              <fill>
                <patternFill>
                  <bgColor indexed="52"/>
                </patternFill>
              </fill>
            </x14:dxf>
          </x14:cfRule>
          <xm:sqref>DI24</xm:sqref>
        </x14:conditionalFormatting>
        <x14:conditionalFormatting xmlns:xm="http://schemas.microsoft.com/office/excel/2006/main">
          <x14:cfRule type="expression" priority="562" stopIfTrue="1" id="{2CF85A69-A000-438F-AA75-CA9EA5DF80B8}">
            <xm:f>(60 * HOUR(DJ24) + MINUTE(DJ24)) &gt;(60 * HOUR(INDEX('1.Locations'!G2:G32,DD24 + 1)) +MINUTE(INDEX('1.Locations'!G2:G32,DD24 + 1)))</xm:f>
            <x14:dxf>
              <fill>
                <patternFill>
                  <bgColor indexed="10"/>
                </patternFill>
              </fill>
            </x14:dxf>
          </x14:cfRule>
          <xm:sqref>DJ24</xm:sqref>
        </x14:conditionalFormatting>
        <x14:conditionalFormatting xmlns:xm="http://schemas.microsoft.com/office/excel/2006/main">
          <x14:cfRule type="cellIs" priority="563" stopIfTrue="1" operator="lessThan" id="{E699A5C8-D1AB-41B4-8B7F-AB4577A1913C}">
            <xm:f>INDEX('1.Locations'!F2:F32,DD25 + 1)</xm:f>
            <x14:dxf>
              <fill>
                <patternFill>
                  <bgColor indexed="52"/>
                </patternFill>
              </fill>
            </x14:dxf>
          </x14:cfRule>
          <xm:sqref>DI25</xm:sqref>
        </x14:conditionalFormatting>
        <x14:conditionalFormatting xmlns:xm="http://schemas.microsoft.com/office/excel/2006/main">
          <x14:cfRule type="expression" priority="564" stopIfTrue="1" id="{E0999249-6917-4AB7-ABDE-B3AF41EB4415}">
            <xm:f>(60 * HOUR(DJ25) + MINUTE(DJ25)) &gt;(60 * HOUR(INDEX('1.Locations'!G2:G32,DD25 + 1)) +MINUTE(INDEX('1.Locations'!G2:G32,DD25 + 1)))</xm:f>
            <x14:dxf>
              <fill>
                <patternFill>
                  <bgColor indexed="10"/>
                </patternFill>
              </fill>
            </x14:dxf>
          </x14:cfRule>
          <xm:sqref>DJ25</xm:sqref>
        </x14:conditionalFormatting>
        <x14:conditionalFormatting xmlns:xm="http://schemas.microsoft.com/office/excel/2006/main">
          <x14:cfRule type="cellIs" priority="565" stopIfTrue="1" operator="lessThan" id="{697F145F-E0F5-47EB-AC3C-74E48E717E66}">
            <xm:f>INDEX('1.Locations'!F2:F32,DD26 + 1)</xm:f>
            <x14:dxf>
              <fill>
                <patternFill>
                  <bgColor indexed="52"/>
                </patternFill>
              </fill>
            </x14:dxf>
          </x14:cfRule>
          <xm:sqref>DI26</xm:sqref>
        </x14:conditionalFormatting>
        <x14:conditionalFormatting xmlns:xm="http://schemas.microsoft.com/office/excel/2006/main">
          <x14:cfRule type="expression" priority="566" stopIfTrue="1" id="{252C3458-9E06-46C8-8A5A-14C8304C3806}">
            <xm:f>(60 * HOUR(DJ26) + MINUTE(DJ26)) &gt;(60 * HOUR(INDEX('1.Locations'!G2:G32,DD26 + 1)) +MINUTE(INDEX('1.Locations'!G2:G32,DD26 + 1)))</xm:f>
            <x14:dxf>
              <fill>
                <patternFill>
                  <bgColor indexed="10"/>
                </patternFill>
              </fill>
            </x14:dxf>
          </x14:cfRule>
          <xm:sqref>DJ26</xm:sqref>
        </x14:conditionalFormatting>
        <x14:conditionalFormatting xmlns:xm="http://schemas.microsoft.com/office/excel/2006/main">
          <x14:cfRule type="cellIs" priority="567" stopIfTrue="1" operator="lessThan" id="{BB008398-FB83-4C89-9F4C-417F050A7B93}">
            <xm:f>INDEX('1.Locations'!F2:F32,DD27 + 1)</xm:f>
            <x14:dxf>
              <fill>
                <patternFill>
                  <bgColor indexed="52"/>
                </patternFill>
              </fill>
            </x14:dxf>
          </x14:cfRule>
          <xm:sqref>DI27</xm:sqref>
        </x14:conditionalFormatting>
        <x14:conditionalFormatting xmlns:xm="http://schemas.microsoft.com/office/excel/2006/main">
          <x14:cfRule type="expression" priority="568" stopIfTrue="1" id="{A625C34A-DCE8-48FE-8A90-F47DFC24A27D}">
            <xm:f>(60 * HOUR(DJ27) + MINUTE(DJ27)) &gt;(60 * HOUR(INDEX('1.Locations'!G2:G32,DD27 + 1)) +MINUTE(INDEX('1.Locations'!G2:G32,DD27 + 1)))</xm:f>
            <x14:dxf>
              <fill>
                <patternFill>
                  <bgColor indexed="10"/>
                </patternFill>
              </fill>
            </x14:dxf>
          </x14:cfRule>
          <xm:sqref>DJ27</xm:sqref>
        </x14:conditionalFormatting>
        <x14:conditionalFormatting xmlns:xm="http://schemas.microsoft.com/office/excel/2006/main">
          <x14:cfRule type="cellIs" priority="569" stopIfTrue="1" operator="lessThan" id="{4713CA84-17F8-417C-8C21-415DE4902DB2}">
            <xm:f>INDEX('1.Locations'!F2:F32,DD28 + 1)</xm:f>
            <x14:dxf>
              <fill>
                <patternFill>
                  <bgColor indexed="52"/>
                </patternFill>
              </fill>
            </x14:dxf>
          </x14:cfRule>
          <xm:sqref>DI28</xm:sqref>
        </x14:conditionalFormatting>
        <x14:conditionalFormatting xmlns:xm="http://schemas.microsoft.com/office/excel/2006/main">
          <x14:cfRule type="expression" priority="570" stopIfTrue="1" id="{98F1402B-1B54-416D-BF3C-DC2B3703B54A}">
            <xm:f>(60 * HOUR(DJ28) + MINUTE(DJ28)) &gt;(60 * HOUR(INDEX('1.Locations'!G2:G32,DD28 + 1)) +MINUTE(INDEX('1.Locations'!G2:G32,DD28 + 1)))</xm:f>
            <x14:dxf>
              <fill>
                <patternFill>
                  <bgColor indexed="10"/>
                </patternFill>
              </fill>
            </x14:dxf>
          </x14:cfRule>
          <xm:sqref>DJ28</xm:sqref>
        </x14:conditionalFormatting>
        <x14:conditionalFormatting xmlns:xm="http://schemas.microsoft.com/office/excel/2006/main">
          <x14:cfRule type="cellIs" priority="571" stopIfTrue="1" operator="lessThan" id="{38FB2CB2-470F-434C-A18F-ABF222488095}">
            <xm:f>INDEX('1.Locations'!F2:F32,DD29 + 1)</xm:f>
            <x14:dxf>
              <fill>
                <patternFill>
                  <bgColor indexed="52"/>
                </patternFill>
              </fill>
            </x14:dxf>
          </x14:cfRule>
          <xm:sqref>DI29</xm:sqref>
        </x14:conditionalFormatting>
        <x14:conditionalFormatting xmlns:xm="http://schemas.microsoft.com/office/excel/2006/main">
          <x14:cfRule type="expression" priority="572" stopIfTrue="1" id="{74E51FDF-AEF3-45E2-8400-37D2E2968AC7}">
            <xm:f>(60 * HOUR(DJ29) + MINUTE(DJ29)) &gt;(60 * HOUR(INDEX('1.Locations'!G2:G32,DD29 + 1)) +MINUTE(INDEX('1.Locations'!G2:G32,DD29 + 1)))</xm:f>
            <x14:dxf>
              <fill>
                <patternFill>
                  <bgColor indexed="10"/>
                </patternFill>
              </fill>
            </x14:dxf>
          </x14:cfRule>
          <xm:sqref>DJ29</xm:sqref>
        </x14:conditionalFormatting>
        <x14:conditionalFormatting xmlns:xm="http://schemas.microsoft.com/office/excel/2006/main">
          <x14:cfRule type="cellIs" priority="573" stopIfTrue="1" operator="lessThan" id="{53CA955F-6017-4BA5-96F8-18D32858B0BC}">
            <xm:f>INDEX('1.Locations'!F2:F32,DD30 + 1)</xm:f>
            <x14:dxf>
              <fill>
                <patternFill>
                  <bgColor indexed="52"/>
                </patternFill>
              </fill>
            </x14:dxf>
          </x14:cfRule>
          <xm:sqref>DI30</xm:sqref>
        </x14:conditionalFormatting>
        <x14:conditionalFormatting xmlns:xm="http://schemas.microsoft.com/office/excel/2006/main">
          <x14:cfRule type="expression" priority="574" stopIfTrue="1" id="{CFE39265-1DBF-4BAD-AEB6-FAE7B031162B}">
            <xm:f>(60 * HOUR(DJ30) + MINUTE(DJ30)) &gt;(60 * HOUR(INDEX('1.Locations'!G2:G32,DD30 + 1)) +MINUTE(INDEX('1.Locations'!G2:G32,DD30 + 1)))</xm:f>
            <x14:dxf>
              <fill>
                <patternFill>
                  <bgColor indexed="10"/>
                </patternFill>
              </fill>
            </x14:dxf>
          </x14:cfRule>
          <xm:sqref>DJ30</xm:sqref>
        </x14:conditionalFormatting>
        <x14:conditionalFormatting xmlns:xm="http://schemas.microsoft.com/office/excel/2006/main">
          <x14:cfRule type="cellIs" priority="575" stopIfTrue="1" operator="lessThan" id="{DEC76A81-A0D8-421F-9810-E6C6FB34BA1D}">
            <xm:f>INDEX('1.Locations'!F2:F32,DD31 + 1)</xm:f>
            <x14:dxf>
              <fill>
                <patternFill>
                  <bgColor indexed="52"/>
                </patternFill>
              </fill>
            </x14:dxf>
          </x14:cfRule>
          <xm:sqref>DI31</xm:sqref>
        </x14:conditionalFormatting>
        <x14:conditionalFormatting xmlns:xm="http://schemas.microsoft.com/office/excel/2006/main">
          <x14:cfRule type="expression" priority="576" stopIfTrue="1" id="{2C931A7F-993F-4FAB-8BBE-716F393D3AA7}">
            <xm:f>(60 * HOUR(DJ31) + MINUTE(DJ31)) &gt;(60 * HOUR(INDEX('1.Locations'!G2:G32,DD31 + 1)) +MINUTE(INDEX('1.Locations'!G2:G32,DD31 + 1)))</xm:f>
            <x14:dxf>
              <fill>
                <patternFill>
                  <bgColor indexed="10"/>
                </patternFill>
              </fill>
            </x14:dxf>
          </x14:cfRule>
          <xm:sqref>DJ31</xm:sqref>
        </x14:conditionalFormatting>
        <x14:conditionalFormatting xmlns:xm="http://schemas.microsoft.com/office/excel/2006/main">
          <x14:cfRule type="cellIs" priority="577" stopIfTrue="1" operator="lessThan" id="{C78FF37D-2AC7-45A7-9469-75CD22486D89}">
            <xm:f>INDEX('1.Locations'!F2:F32,DD32 + 1)</xm:f>
            <x14:dxf>
              <fill>
                <patternFill>
                  <bgColor indexed="52"/>
                </patternFill>
              </fill>
            </x14:dxf>
          </x14:cfRule>
          <xm:sqref>DI32</xm:sqref>
        </x14:conditionalFormatting>
        <x14:conditionalFormatting xmlns:xm="http://schemas.microsoft.com/office/excel/2006/main">
          <x14:cfRule type="expression" priority="578" stopIfTrue="1" id="{2753BA28-CB70-409C-9CF6-6D01A46A869B}">
            <xm:f>(60 * HOUR(DJ32) + MINUTE(DJ32)) &gt;(60 * HOUR(INDEX('1.Locations'!G2:G32,DD32 + 1)) +MINUTE(INDEX('1.Locations'!G2:G32,DD32 + 1)))</xm:f>
            <x14:dxf>
              <fill>
                <patternFill>
                  <bgColor indexed="10"/>
                </patternFill>
              </fill>
            </x14:dxf>
          </x14:cfRule>
          <xm:sqref>DJ32</xm:sqref>
        </x14:conditionalFormatting>
        <x14:conditionalFormatting xmlns:xm="http://schemas.microsoft.com/office/excel/2006/main">
          <x14:cfRule type="cellIs" priority="579" stopIfTrue="1" operator="lessThan" id="{D287676F-C40B-467D-8982-F06C96E3AEDC}">
            <xm:f>INDEX('1.Locations'!F2:F32,DD33 + 1)</xm:f>
            <x14:dxf>
              <fill>
                <patternFill>
                  <bgColor indexed="52"/>
                </patternFill>
              </fill>
            </x14:dxf>
          </x14:cfRule>
          <xm:sqref>DI33</xm:sqref>
        </x14:conditionalFormatting>
        <x14:conditionalFormatting xmlns:xm="http://schemas.microsoft.com/office/excel/2006/main">
          <x14:cfRule type="expression" priority="580" stopIfTrue="1" id="{22FC5E22-6804-4E5E-9078-CBBEDB318B10}">
            <xm:f>(60 * HOUR(DJ33) + MINUTE(DJ33)) &gt;(60 * HOUR(INDEX('1.Locations'!G2:G32,DD33 + 1)) +MINUTE(INDEX('1.Locations'!G2:G32,DD33 + 1)))</xm:f>
            <x14:dxf>
              <fill>
                <patternFill>
                  <bgColor indexed="10"/>
                </patternFill>
              </fill>
            </x14:dxf>
          </x14:cfRule>
          <xm:sqref>DJ33</xm:sqref>
        </x14:conditionalFormatting>
        <x14:conditionalFormatting xmlns:xm="http://schemas.microsoft.com/office/excel/2006/main">
          <x14:cfRule type="cellIs" priority="581" stopIfTrue="1" operator="lessThan" id="{4D6A6787-0E4A-48E3-8E93-112C855E0F29}">
            <xm:f>INDEX('1.Locations'!F2:F32,DD34 + 1)</xm:f>
            <x14:dxf>
              <fill>
                <patternFill>
                  <bgColor indexed="52"/>
                </patternFill>
              </fill>
            </x14:dxf>
          </x14:cfRule>
          <xm:sqref>DI34</xm:sqref>
        </x14:conditionalFormatting>
        <x14:conditionalFormatting xmlns:xm="http://schemas.microsoft.com/office/excel/2006/main">
          <x14:cfRule type="expression" priority="582" stopIfTrue="1" id="{F740DF19-6926-4F6C-A72A-84CC43A074A9}">
            <xm:f>(60 * HOUR(DJ34) + MINUTE(DJ34)) &gt;(60 * HOUR(INDEX('1.Locations'!G2:G32,DD34 + 1)) +MINUTE(INDEX('1.Locations'!G2:G32,DD34 + 1)))</xm:f>
            <x14:dxf>
              <fill>
                <patternFill>
                  <bgColor indexed="10"/>
                </patternFill>
              </fill>
            </x14:dxf>
          </x14:cfRule>
          <xm:sqref>DJ34</xm:sqref>
        </x14:conditionalFormatting>
        <x14:conditionalFormatting xmlns:xm="http://schemas.microsoft.com/office/excel/2006/main">
          <x14:cfRule type="cellIs" priority="583" stopIfTrue="1" operator="lessThan" id="{F7F5694E-FE4E-49AE-AC75-F435CEAD3044}">
            <xm:f>INDEX('1.Locations'!F2:F32,DD35 + 1)</xm:f>
            <x14:dxf>
              <fill>
                <patternFill>
                  <bgColor indexed="52"/>
                </patternFill>
              </fill>
            </x14:dxf>
          </x14:cfRule>
          <xm:sqref>DI35</xm:sqref>
        </x14:conditionalFormatting>
        <x14:conditionalFormatting xmlns:xm="http://schemas.microsoft.com/office/excel/2006/main">
          <x14:cfRule type="expression" priority="584" stopIfTrue="1" id="{08B6EA14-CE21-4D3D-A14B-A83F0A0CBEB3}">
            <xm:f>(60 * HOUR(DJ35) + MINUTE(DJ35)) &gt;(60 * HOUR(INDEX('1.Locations'!G2:G32,DD35 + 1)) +MINUTE(INDEX('1.Locations'!G2:G32,DD35 + 1)))</xm:f>
            <x14:dxf>
              <fill>
                <patternFill>
                  <bgColor indexed="10"/>
                </patternFill>
              </fill>
            </x14:dxf>
          </x14:cfRule>
          <xm:sqref>DJ35</xm:sqref>
        </x14:conditionalFormatting>
        <x14:conditionalFormatting xmlns:xm="http://schemas.microsoft.com/office/excel/2006/main">
          <x14:cfRule type="cellIs" priority="585" stopIfTrue="1" operator="lessThan" id="{D20D811E-C79D-4886-9C54-C1C25D5EA652}">
            <xm:f>INDEX('1.Locations'!F2:F32,DD36 + 1)</xm:f>
            <x14:dxf>
              <fill>
                <patternFill>
                  <bgColor indexed="52"/>
                </patternFill>
              </fill>
            </x14:dxf>
          </x14:cfRule>
          <xm:sqref>DI36</xm:sqref>
        </x14:conditionalFormatting>
        <x14:conditionalFormatting xmlns:xm="http://schemas.microsoft.com/office/excel/2006/main">
          <x14:cfRule type="expression" priority="586" stopIfTrue="1" id="{BF94990E-E068-42BA-90C4-2E150CE784DF}">
            <xm:f>(60 * HOUR(DJ36) + MINUTE(DJ36)) &gt;(60 * HOUR(INDEX('1.Locations'!G2:G32,DD36 + 1)) +MINUTE(INDEX('1.Locations'!G2:G32,DD36 + 1)))</xm:f>
            <x14:dxf>
              <fill>
                <patternFill>
                  <bgColor indexed="10"/>
                </patternFill>
              </fill>
            </x14:dxf>
          </x14:cfRule>
          <xm:sqref>DJ36</xm:sqref>
        </x14:conditionalFormatting>
        <x14:conditionalFormatting xmlns:xm="http://schemas.microsoft.com/office/excel/2006/main">
          <x14:cfRule type="cellIs" priority="587" stopIfTrue="1" operator="greaterThan" id="{C10472DC-21B8-423B-9F8D-43DB91A4DEDE}">
            <xm:f>'3.Vehicles'!$F$2</xm:f>
            <x14:dxf>
              <fill>
                <patternFill>
                  <bgColor indexed="10"/>
                </patternFill>
              </fill>
            </x14:dxf>
          </x14:cfRule>
          <xm:sqref>DG6:DG36</xm:sqref>
        </x14:conditionalFormatting>
        <x14:conditionalFormatting xmlns:xm="http://schemas.microsoft.com/office/excel/2006/main">
          <x14:cfRule type="cellIs" priority="588" stopIfTrue="1" operator="greaterThan" id="{95C29706-CAE1-44AC-B3ED-D5FD3C5A56B8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DO5:DO36</xm:sqref>
        </x14:conditionalFormatting>
        <x14:conditionalFormatting xmlns:xm="http://schemas.microsoft.com/office/excel/2006/main">
          <x14:cfRule type="cellIs" priority="590" stopIfTrue="1" operator="greaterThan" id="{0330C51C-5FD4-4A0B-9F8E-6C308C7D9C99}">
            <xm:f>'3.Vehicles'!$H$2</xm:f>
            <x14:dxf>
              <fill>
                <patternFill>
                  <bgColor indexed="10"/>
                </patternFill>
              </fill>
            </x14:dxf>
          </x14:cfRule>
          <xm:sqref>DH6:DH36</xm:sqref>
        </x14:conditionalFormatting>
        <x14:conditionalFormatting xmlns:xm="http://schemas.microsoft.com/office/excel/2006/main">
          <x14:cfRule type="cellIs" priority="591" stopIfTrue="1" operator="greaterThan" id="{92AA166A-97B3-4149-A832-F2F7327F47F7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DK6:DK36</xm:sqref>
        </x14:conditionalFormatting>
        <x14:conditionalFormatting xmlns:xm="http://schemas.microsoft.com/office/excel/2006/main">
          <x14:cfRule type="expression" priority="593" stopIfTrue="1" id="{5E6A3783-D023-4331-B319-BEF94B2B9E78}">
            <xm:f>(60 * HOUR(DY5) + MINUTE(DY5)) &gt;(60 * HOUR(INDEX('1.Locations'!G2:G32,DS5 + 1)) +MINUTE(INDEX('1.Locations'!G2:G32,DS5 + 1)))</xm:f>
            <x14:dxf>
              <fill>
                <patternFill>
                  <bgColor indexed="10"/>
                </patternFill>
              </fill>
            </x14:dxf>
          </x14:cfRule>
          <xm:sqref>DY5</xm:sqref>
        </x14:conditionalFormatting>
        <x14:conditionalFormatting xmlns:xm="http://schemas.microsoft.com/office/excel/2006/main">
          <x14:cfRule type="cellIs" priority="594" stopIfTrue="1" operator="lessThan" id="{1EECBF7B-6BC0-4C02-B11F-85ED78DAA7E9}">
            <xm:f>INDEX('1.Locations'!F2:F32,DS6 + 1)</xm:f>
            <x14:dxf>
              <fill>
                <patternFill>
                  <bgColor indexed="52"/>
                </patternFill>
              </fill>
            </x14:dxf>
          </x14:cfRule>
          <xm:sqref>DX6</xm:sqref>
        </x14:conditionalFormatting>
        <x14:conditionalFormatting xmlns:xm="http://schemas.microsoft.com/office/excel/2006/main">
          <x14:cfRule type="expression" priority="595" stopIfTrue="1" id="{3F0ABAB4-8FC2-4389-8784-0D581ED696BD}">
            <xm:f>(60 * HOUR(DY6) + MINUTE(DY6)) &gt;(60 * HOUR(INDEX('1.Locations'!G2:G32,DS6 + 1)) +MINUTE(INDEX('1.Locations'!G2:G32,DS6 + 1)))</xm:f>
            <x14:dxf>
              <fill>
                <patternFill>
                  <bgColor indexed="10"/>
                </patternFill>
              </fill>
            </x14:dxf>
          </x14:cfRule>
          <xm:sqref>DY6</xm:sqref>
        </x14:conditionalFormatting>
        <x14:conditionalFormatting xmlns:xm="http://schemas.microsoft.com/office/excel/2006/main">
          <x14:cfRule type="cellIs" priority="596" stopIfTrue="1" operator="lessThan" id="{CD6C0795-E9B0-42D7-977E-DD2F4193ACDB}">
            <xm:f>INDEX('1.Locations'!F2:F32,DS7 + 1)</xm:f>
            <x14:dxf>
              <fill>
                <patternFill>
                  <bgColor indexed="52"/>
                </patternFill>
              </fill>
            </x14:dxf>
          </x14:cfRule>
          <xm:sqref>DX7</xm:sqref>
        </x14:conditionalFormatting>
        <x14:conditionalFormatting xmlns:xm="http://schemas.microsoft.com/office/excel/2006/main">
          <x14:cfRule type="expression" priority="597" stopIfTrue="1" id="{D92183D6-5D25-44FE-A42D-A2AC83FE099F}">
            <xm:f>(60 * HOUR(DY7) + MINUTE(DY7)) &gt;(60 * HOUR(INDEX('1.Locations'!G2:G32,DS7 + 1)) +MINUTE(INDEX('1.Locations'!G2:G32,DS7 + 1)))</xm:f>
            <x14:dxf>
              <fill>
                <patternFill>
                  <bgColor indexed="10"/>
                </patternFill>
              </fill>
            </x14:dxf>
          </x14:cfRule>
          <xm:sqref>DY7</xm:sqref>
        </x14:conditionalFormatting>
        <x14:conditionalFormatting xmlns:xm="http://schemas.microsoft.com/office/excel/2006/main">
          <x14:cfRule type="cellIs" priority="598" stopIfTrue="1" operator="lessThan" id="{4A929DDB-207F-40D0-93D4-B94B682B5A8E}">
            <xm:f>INDEX('1.Locations'!F2:F32,DS8 + 1)</xm:f>
            <x14:dxf>
              <fill>
                <patternFill>
                  <bgColor indexed="52"/>
                </patternFill>
              </fill>
            </x14:dxf>
          </x14:cfRule>
          <xm:sqref>DX8</xm:sqref>
        </x14:conditionalFormatting>
        <x14:conditionalFormatting xmlns:xm="http://schemas.microsoft.com/office/excel/2006/main">
          <x14:cfRule type="expression" priority="599" stopIfTrue="1" id="{88DA665D-52D0-45A7-AC47-21E3D3C8149D}">
            <xm:f>(60 * HOUR(DY8) + MINUTE(DY8)) &gt;(60 * HOUR(INDEX('1.Locations'!G2:G32,DS8 + 1)) +MINUTE(INDEX('1.Locations'!G2:G32,DS8 + 1)))</xm:f>
            <x14:dxf>
              <fill>
                <patternFill>
                  <bgColor indexed="10"/>
                </patternFill>
              </fill>
            </x14:dxf>
          </x14:cfRule>
          <xm:sqref>DY8</xm:sqref>
        </x14:conditionalFormatting>
        <x14:conditionalFormatting xmlns:xm="http://schemas.microsoft.com/office/excel/2006/main">
          <x14:cfRule type="cellIs" priority="600" stopIfTrue="1" operator="lessThan" id="{C233D333-FABC-42A9-8023-4FB4464EB935}">
            <xm:f>INDEX('1.Locations'!F2:F32,DS9 + 1)</xm:f>
            <x14:dxf>
              <fill>
                <patternFill>
                  <bgColor indexed="52"/>
                </patternFill>
              </fill>
            </x14:dxf>
          </x14:cfRule>
          <xm:sqref>DX9</xm:sqref>
        </x14:conditionalFormatting>
        <x14:conditionalFormatting xmlns:xm="http://schemas.microsoft.com/office/excel/2006/main">
          <x14:cfRule type="expression" priority="601" stopIfTrue="1" id="{1A881EBB-C344-4C19-A41B-4584AD1CB0E7}">
            <xm:f>(60 * HOUR(DY9) + MINUTE(DY9)) &gt;(60 * HOUR(INDEX('1.Locations'!G2:G32,DS9 + 1)) +MINUTE(INDEX('1.Locations'!G2:G32,DS9 + 1)))</xm:f>
            <x14:dxf>
              <fill>
                <patternFill>
                  <bgColor indexed="10"/>
                </patternFill>
              </fill>
            </x14:dxf>
          </x14:cfRule>
          <xm:sqref>DY9</xm:sqref>
        </x14:conditionalFormatting>
        <x14:conditionalFormatting xmlns:xm="http://schemas.microsoft.com/office/excel/2006/main">
          <x14:cfRule type="cellIs" priority="602" stopIfTrue="1" operator="lessThan" id="{B3168C7F-A411-4F69-85F2-AE553789943D}">
            <xm:f>INDEX('1.Locations'!F2:F32,DS10 + 1)</xm:f>
            <x14:dxf>
              <fill>
                <patternFill>
                  <bgColor indexed="52"/>
                </patternFill>
              </fill>
            </x14:dxf>
          </x14:cfRule>
          <xm:sqref>DX10</xm:sqref>
        </x14:conditionalFormatting>
        <x14:conditionalFormatting xmlns:xm="http://schemas.microsoft.com/office/excel/2006/main">
          <x14:cfRule type="expression" priority="603" stopIfTrue="1" id="{99199987-E0CD-4D5A-874C-A0BC148296FF}">
            <xm:f>(60 * HOUR(DY10) + MINUTE(DY10)) &gt;(60 * HOUR(INDEX('1.Locations'!G2:G32,DS10 + 1)) +MINUTE(INDEX('1.Locations'!G2:G32,DS10 + 1)))</xm:f>
            <x14:dxf>
              <fill>
                <patternFill>
                  <bgColor indexed="10"/>
                </patternFill>
              </fill>
            </x14:dxf>
          </x14:cfRule>
          <xm:sqref>DY10</xm:sqref>
        </x14:conditionalFormatting>
        <x14:conditionalFormatting xmlns:xm="http://schemas.microsoft.com/office/excel/2006/main">
          <x14:cfRule type="cellIs" priority="604" stopIfTrue="1" operator="lessThan" id="{E7973218-439C-4BF4-B2E5-43D4812C07D7}">
            <xm:f>INDEX('1.Locations'!F2:F32,DS11 + 1)</xm:f>
            <x14:dxf>
              <fill>
                <patternFill>
                  <bgColor indexed="52"/>
                </patternFill>
              </fill>
            </x14:dxf>
          </x14:cfRule>
          <xm:sqref>DX11</xm:sqref>
        </x14:conditionalFormatting>
        <x14:conditionalFormatting xmlns:xm="http://schemas.microsoft.com/office/excel/2006/main">
          <x14:cfRule type="expression" priority="605" stopIfTrue="1" id="{99367511-F330-42F0-A870-3F0741B510F3}">
            <xm:f>(60 * HOUR(DY11) + MINUTE(DY11)) &gt;(60 * HOUR(INDEX('1.Locations'!G2:G32,DS11 + 1)) +MINUTE(INDEX('1.Locations'!G2:G32,DS11 + 1)))</xm:f>
            <x14:dxf>
              <fill>
                <patternFill>
                  <bgColor indexed="10"/>
                </patternFill>
              </fill>
            </x14:dxf>
          </x14:cfRule>
          <xm:sqref>DY11</xm:sqref>
        </x14:conditionalFormatting>
        <x14:conditionalFormatting xmlns:xm="http://schemas.microsoft.com/office/excel/2006/main">
          <x14:cfRule type="cellIs" priority="606" stopIfTrue="1" operator="lessThan" id="{F15BD765-A650-4EB2-8861-B56652494F7C}">
            <xm:f>INDEX('1.Locations'!F2:F32,DS12 + 1)</xm:f>
            <x14:dxf>
              <fill>
                <patternFill>
                  <bgColor indexed="52"/>
                </patternFill>
              </fill>
            </x14:dxf>
          </x14:cfRule>
          <xm:sqref>DX12</xm:sqref>
        </x14:conditionalFormatting>
        <x14:conditionalFormatting xmlns:xm="http://schemas.microsoft.com/office/excel/2006/main">
          <x14:cfRule type="expression" priority="607" stopIfTrue="1" id="{EB5FFA6A-6E86-4E2D-A261-4480A0DE86C2}">
            <xm:f>(60 * HOUR(DY12) + MINUTE(DY12)) &gt;(60 * HOUR(INDEX('1.Locations'!G2:G32,DS12 + 1)) +MINUTE(INDEX('1.Locations'!G2:G32,DS12 + 1)))</xm:f>
            <x14:dxf>
              <fill>
                <patternFill>
                  <bgColor indexed="10"/>
                </patternFill>
              </fill>
            </x14:dxf>
          </x14:cfRule>
          <xm:sqref>DY12</xm:sqref>
        </x14:conditionalFormatting>
        <x14:conditionalFormatting xmlns:xm="http://schemas.microsoft.com/office/excel/2006/main">
          <x14:cfRule type="cellIs" priority="608" stopIfTrue="1" operator="lessThan" id="{12AD4ADB-EE66-44F4-826A-1CED529252AE}">
            <xm:f>INDEX('1.Locations'!F2:F32,DS13 + 1)</xm:f>
            <x14:dxf>
              <fill>
                <patternFill>
                  <bgColor indexed="52"/>
                </patternFill>
              </fill>
            </x14:dxf>
          </x14:cfRule>
          <xm:sqref>DX13</xm:sqref>
        </x14:conditionalFormatting>
        <x14:conditionalFormatting xmlns:xm="http://schemas.microsoft.com/office/excel/2006/main">
          <x14:cfRule type="expression" priority="609" stopIfTrue="1" id="{0EB0E54F-EB30-45E9-8AD7-8E726D6EBA3F}">
            <xm:f>(60 * HOUR(DY13) + MINUTE(DY13)) &gt;(60 * HOUR(INDEX('1.Locations'!G2:G32,DS13 + 1)) +MINUTE(INDEX('1.Locations'!G2:G32,DS13 + 1)))</xm:f>
            <x14:dxf>
              <fill>
                <patternFill>
                  <bgColor indexed="10"/>
                </patternFill>
              </fill>
            </x14:dxf>
          </x14:cfRule>
          <xm:sqref>DY13</xm:sqref>
        </x14:conditionalFormatting>
        <x14:conditionalFormatting xmlns:xm="http://schemas.microsoft.com/office/excel/2006/main">
          <x14:cfRule type="cellIs" priority="610" stopIfTrue="1" operator="lessThan" id="{87AD3484-9999-4E34-BDDA-39EA4A4282BC}">
            <xm:f>INDEX('1.Locations'!F2:F32,DS14 + 1)</xm:f>
            <x14:dxf>
              <fill>
                <patternFill>
                  <bgColor indexed="52"/>
                </patternFill>
              </fill>
            </x14:dxf>
          </x14:cfRule>
          <xm:sqref>DX14</xm:sqref>
        </x14:conditionalFormatting>
        <x14:conditionalFormatting xmlns:xm="http://schemas.microsoft.com/office/excel/2006/main">
          <x14:cfRule type="expression" priority="611" stopIfTrue="1" id="{338FEAD1-7EA7-4997-8E2B-D818EABB9A4A}">
            <xm:f>(60 * HOUR(DY14) + MINUTE(DY14)) &gt;(60 * HOUR(INDEX('1.Locations'!G2:G32,DS14 + 1)) +MINUTE(INDEX('1.Locations'!G2:G32,DS14 + 1)))</xm:f>
            <x14:dxf>
              <fill>
                <patternFill>
                  <bgColor indexed="10"/>
                </patternFill>
              </fill>
            </x14:dxf>
          </x14:cfRule>
          <xm:sqref>DY14</xm:sqref>
        </x14:conditionalFormatting>
        <x14:conditionalFormatting xmlns:xm="http://schemas.microsoft.com/office/excel/2006/main">
          <x14:cfRule type="cellIs" priority="612" stopIfTrue="1" operator="lessThan" id="{B85DC0E6-9656-46A8-8916-AEE31F6AAC96}">
            <xm:f>INDEX('1.Locations'!F2:F32,DS15 + 1)</xm:f>
            <x14:dxf>
              <fill>
                <patternFill>
                  <bgColor indexed="52"/>
                </patternFill>
              </fill>
            </x14:dxf>
          </x14:cfRule>
          <xm:sqref>DX15</xm:sqref>
        </x14:conditionalFormatting>
        <x14:conditionalFormatting xmlns:xm="http://schemas.microsoft.com/office/excel/2006/main">
          <x14:cfRule type="expression" priority="613" stopIfTrue="1" id="{66DD8D9B-ED48-4864-8919-C888410979F0}">
            <xm:f>(60 * HOUR(DY15) + MINUTE(DY15)) &gt;(60 * HOUR(INDEX('1.Locations'!G2:G32,DS15 + 1)) +MINUTE(INDEX('1.Locations'!G2:G32,DS15 + 1)))</xm:f>
            <x14:dxf>
              <fill>
                <patternFill>
                  <bgColor indexed="10"/>
                </patternFill>
              </fill>
            </x14:dxf>
          </x14:cfRule>
          <xm:sqref>DY15</xm:sqref>
        </x14:conditionalFormatting>
        <x14:conditionalFormatting xmlns:xm="http://schemas.microsoft.com/office/excel/2006/main">
          <x14:cfRule type="cellIs" priority="614" stopIfTrue="1" operator="lessThan" id="{52EEAC0F-C483-408A-81D7-16051F8F3D86}">
            <xm:f>INDEX('1.Locations'!F2:F32,DS16 + 1)</xm:f>
            <x14:dxf>
              <fill>
                <patternFill>
                  <bgColor indexed="52"/>
                </patternFill>
              </fill>
            </x14:dxf>
          </x14:cfRule>
          <xm:sqref>DX16</xm:sqref>
        </x14:conditionalFormatting>
        <x14:conditionalFormatting xmlns:xm="http://schemas.microsoft.com/office/excel/2006/main">
          <x14:cfRule type="expression" priority="615" stopIfTrue="1" id="{164693F0-59D5-4F9A-9D05-DEE0DF4A691F}">
            <xm:f>(60 * HOUR(DY16) + MINUTE(DY16)) &gt;(60 * HOUR(INDEX('1.Locations'!G2:G32,DS16 + 1)) +MINUTE(INDEX('1.Locations'!G2:G32,DS16 + 1)))</xm:f>
            <x14:dxf>
              <fill>
                <patternFill>
                  <bgColor indexed="10"/>
                </patternFill>
              </fill>
            </x14:dxf>
          </x14:cfRule>
          <xm:sqref>DY16</xm:sqref>
        </x14:conditionalFormatting>
        <x14:conditionalFormatting xmlns:xm="http://schemas.microsoft.com/office/excel/2006/main">
          <x14:cfRule type="cellIs" priority="616" stopIfTrue="1" operator="lessThan" id="{42644B7A-B74C-477D-86D1-868E016FB2DB}">
            <xm:f>INDEX('1.Locations'!F2:F32,DS17 + 1)</xm:f>
            <x14:dxf>
              <fill>
                <patternFill>
                  <bgColor indexed="52"/>
                </patternFill>
              </fill>
            </x14:dxf>
          </x14:cfRule>
          <xm:sqref>DX17</xm:sqref>
        </x14:conditionalFormatting>
        <x14:conditionalFormatting xmlns:xm="http://schemas.microsoft.com/office/excel/2006/main">
          <x14:cfRule type="expression" priority="617" stopIfTrue="1" id="{38DFB347-3C5F-4D03-9AC4-8F2C729A9B0B}">
            <xm:f>(60 * HOUR(DY17) + MINUTE(DY17)) &gt;(60 * HOUR(INDEX('1.Locations'!G2:G32,DS17 + 1)) +MINUTE(INDEX('1.Locations'!G2:G32,DS17 + 1)))</xm:f>
            <x14:dxf>
              <fill>
                <patternFill>
                  <bgColor indexed="10"/>
                </patternFill>
              </fill>
            </x14:dxf>
          </x14:cfRule>
          <xm:sqref>DY17</xm:sqref>
        </x14:conditionalFormatting>
        <x14:conditionalFormatting xmlns:xm="http://schemas.microsoft.com/office/excel/2006/main">
          <x14:cfRule type="cellIs" priority="618" stopIfTrue="1" operator="lessThan" id="{02AF670B-69D3-45FA-AE3C-91A1A2054676}">
            <xm:f>INDEX('1.Locations'!F2:F32,DS18 + 1)</xm:f>
            <x14:dxf>
              <fill>
                <patternFill>
                  <bgColor indexed="52"/>
                </patternFill>
              </fill>
            </x14:dxf>
          </x14:cfRule>
          <xm:sqref>DX18</xm:sqref>
        </x14:conditionalFormatting>
        <x14:conditionalFormatting xmlns:xm="http://schemas.microsoft.com/office/excel/2006/main">
          <x14:cfRule type="expression" priority="619" stopIfTrue="1" id="{E3F5C25D-F2E1-4DE7-ACA4-C34FE8DCAACF}">
            <xm:f>(60 * HOUR(DY18) + MINUTE(DY18)) &gt;(60 * HOUR(INDEX('1.Locations'!G2:G32,DS18 + 1)) +MINUTE(INDEX('1.Locations'!G2:G32,DS18 + 1)))</xm:f>
            <x14:dxf>
              <fill>
                <patternFill>
                  <bgColor indexed="10"/>
                </patternFill>
              </fill>
            </x14:dxf>
          </x14:cfRule>
          <xm:sqref>DY18</xm:sqref>
        </x14:conditionalFormatting>
        <x14:conditionalFormatting xmlns:xm="http://schemas.microsoft.com/office/excel/2006/main">
          <x14:cfRule type="cellIs" priority="620" stopIfTrue="1" operator="lessThan" id="{D4C10017-A1C3-4B3A-B29B-93A8A1BA2BEE}">
            <xm:f>INDEX('1.Locations'!F2:F32,DS19 + 1)</xm:f>
            <x14:dxf>
              <fill>
                <patternFill>
                  <bgColor indexed="52"/>
                </patternFill>
              </fill>
            </x14:dxf>
          </x14:cfRule>
          <xm:sqref>DX19</xm:sqref>
        </x14:conditionalFormatting>
        <x14:conditionalFormatting xmlns:xm="http://schemas.microsoft.com/office/excel/2006/main">
          <x14:cfRule type="expression" priority="621" stopIfTrue="1" id="{6E1A8D15-BCFF-4466-9ED3-7DB953EAE739}">
            <xm:f>(60 * HOUR(DY19) + MINUTE(DY19)) &gt;(60 * HOUR(INDEX('1.Locations'!G2:G32,DS19 + 1)) +MINUTE(INDEX('1.Locations'!G2:G32,DS19 + 1)))</xm:f>
            <x14:dxf>
              <fill>
                <patternFill>
                  <bgColor indexed="10"/>
                </patternFill>
              </fill>
            </x14:dxf>
          </x14:cfRule>
          <xm:sqref>DY19</xm:sqref>
        </x14:conditionalFormatting>
        <x14:conditionalFormatting xmlns:xm="http://schemas.microsoft.com/office/excel/2006/main">
          <x14:cfRule type="cellIs" priority="622" stopIfTrue="1" operator="lessThan" id="{AA6405B5-19D1-4E1D-8C08-7C2122036AAC}">
            <xm:f>INDEX('1.Locations'!F2:F32,DS20 + 1)</xm:f>
            <x14:dxf>
              <fill>
                <patternFill>
                  <bgColor indexed="52"/>
                </patternFill>
              </fill>
            </x14:dxf>
          </x14:cfRule>
          <xm:sqref>DX20</xm:sqref>
        </x14:conditionalFormatting>
        <x14:conditionalFormatting xmlns:xm="http://schemas.microsoft.com/office/excel/2006/main">
          <x14:cfRule type="expression" priority="623" stopIfTrue="1" id="{47437CF4-6EB8-47C7-A3E9-B9FF09CE3144}">
            <xm:f>(60 * HOUR(DY20) + MINUTE(DY20)) &gt;(60 * HOUR(INDEX('1.Locations'!G2:G32,DS20 + 1)) +MINUTE(INDEX('1.Locations'!G2:G32,DS20 + 1)))</xm:f>
            <x14:dxf>
              <fill>
                <patternFill>
                  <bgColor indexed="10"/>
                </patternFill>
              </fill>
            </x14:dxf>
          </x14:cfRule>
          <xm:sqref>DY20</xm:sqref>
        </x14:conditionalFormatting>
        <x14:conditionalFormatting xmlns:xm="http://schemas.microsoft.com/office/excel/2006/main">
          <x14:cfRule type="cellIs" priority="624" stopIfTrue="1" operator="lessThan" id="{093A20AC-9823-405B-B85F-056521AB3F6E}">
            <xm:f>INDEX('1.Locations'!F2:F32,DS21 + 1)</xm:f>
            <x14:dxf>
              <fill>
                <patternFill>
                  <bgColor indexed="52"/>
                </patternFill>
              </fill>
            </x14:dxf>
          </x14:cfRule>
          <xm:sqref>DX21</xm:sqref>
        </x14:conditionalFormatting>
        <x14:conditionalFormatting xmlns:xm="http://schemas.microsoft.com/office/excel/2006/main">
          <x14:cfRule type="expression" priority="625" stopIfTrue="1" id="{C641DE14-569E-4F3A-9906-061A6ADB1866}">
            <xm:f>(60 * HOUR(DY21) + MINUTE(DY21)) &gt;(60 * HOUR(INDEX('1.Locations'!G2:G32,DS21 + 1)) +MINUTE(INDEX('1.Locations'!G2:G32,DS21 + 1)))</xm:f>
            <x14:dxf>
              <fill>
                <patternFill>
                  <bgColor indexed="10"/>
                </patternFill>
              </fill>
            </x14:dxf>
          </x14:cfRule>
          <xm:sqref>DY21</xm:sqref>
        </x14:conditionalFormatting>
        <x14:conditionalFormatting xmlns:xm="http://schemas.microsoft.com/office/excel/2006/main">
          <x14:cfRule type="cellIs" priority="626" stopIfTrue="1" operator="lessThan" id="{E8065455-F928-4D06-BB0A-7D8E14A4B931}">
            <xm:f>INDEX('1.Locations'!F2:F32,DS22 + 1)</xm:f>
            <x14:dxf>
              <fill>
                <patternFill>
                  <bgColor indexed="52"/>
                </patternFill>
              </fill>
            </x14:dxf>
          </x14:cfRule>
          <xm:sqref>DX22</xm:sqref>
        </x14:conditionalFormatting>
        <x14:conditionalFormatting xmlns:xm="http://schemas.microsoft.com/office/excel/2006/main">
          <x14:cfRule type="expression" priority="627" stopIfTrue="1" id="{B60D1FED-140D-451D-A8AD-B46CB0AAA4FF}">
            <xm:f>(60 * HOUR(DY22) + MINUTE(DY22)) &gt;(60 * HOUR(INDEX('1.Locations'!G2:G32,DS22 + 1)) +MINUTE(INDEX('1.Locations'!G2:G32,DS22 + 1)))</xm:f>
            <x14:dxf>
              <fill>
                <patternFill>
                  <bgColor indexed="10"/>
                </patternFill>
              </fill>
            </x14:dxf>
          </x14:cfRule>
          <xm:sqref>DY22</xm:sqref>
        </x14:conditionalFormatting>
        <x14:conditionalFormatting xmlns:xm="http://schemas.microsoft.com/office/excel/2006/main">
          <x14:cfRule type="cellIs" priority="628" stopIfTrue="1" operator="lessThan" id="{0BC54D9F-ACB0-46E5-91E4-805E2569EDD6}">
            <xm:f>INDEX('1.Locations'!F2:F32,DS23 + 1)</xm:f>
            <x14:dxf>
              <fill>
                <patternFill>
                  <bgColor indexed="52"/>
                </patternFill>
              </fill>
            </x14:dxf>
          </x14:cfRule>
          <xm:sqref>DX23</xm:sqref>
        </x14:conditionalFormatting>
        <x14:conditionalFormatting xmlns:xm="http://schemas.microsoft.com/office/excel/2006/main">
          <x14:cfRule type="expression" priority="629" stopIfTrue="1" id="{A0E16F5A-CC77-401B-8635-CBC5460CC20E}">
            <xm:f>(60 * HOUR(DY23) + MINUTE(DY23)) &gt;(60 * HOUR(INDEX('1.Locations'!G2:G32,DS23 + 1)) +MINUTE(INDEX('1.Locations'!G2:G32,DS23 + 1)))</xm:f>
            <x14:dxf>
              <fill>
                <patternFill>
                  <bgColor indexed="10"/>
                </patternFill>
              </fill>
            </x14:dxf>
          </x14:cfRule>
          <xm:sqref>DY23</xm:sqref>
        </x14:conditionalFormatting>
        <x14:conditionalFormatting xmlns:xm="http://schemas.microsoft.com/office/excel/2006/main">
          <x14:cfRule type="cellIs" priority="630" stopIfTrue="1" operator="lessThan" id="{A6AE56EE-924D-4E84-8D90-3A1C7E5416F1}">
            <xm:f>INDEX('1.Locations'!F2:F32,DS24 + 1)</xm:f>
            <x14:dxf>
              <fill>
                <patternFill>
                  <bgColor indexed="52"/>
                </patternFill>
              </fill>
            </x14:dxf>
          </x14:cfRule>
          <xm:sqref>DX24</xm:sqref>
        </x14:conditionalFormatting>
        <x14:conditionalFormatting xmlns:xm="http://schemas.microsoft.com/office/excel/2006/main">
          <x14:cfRule type="expression" priority="631" stopIfTrue="1" id="{2F34B40B-8CEF-41B5-B0A2-2BAB5796D5FC}">
            <xm:f>(60 * HOUR(DY24) + MINUTE(DY24)) &gt;(60 * HOUR(INDEX('1.Locations'!G2:G32,DS24 + 1)) +MINUTE(INDEX('1.Locations'!G2:G32,DS24 + 1)))</xm:f>
            <x14:dxf>
              <fill>
                <patternFill>
                  <bgColor indexed="10"/>
                </patternFill>
              </fill>
            </x14:dxf>
          </x14:cfRule>
          <xm:sqref>DY24</xm:sqref>
        </x14:conditionalFormatting>
        <x14:conditionalFormatting xmlns:xm="http://schemas.microsoft.com/office/excel/2006/main">
          <x14:cfRule type="cellIs" priority="632" stopIfTrue="1" operator="lessThan" id="{85E72DC7-64F4-4E9C-8F26-7D06E5DA6325}">
            <xm:f>INDEX('1.Locations'!F2:F32,DS25 + 1)</xm:f>
            <x14:dxf>
              <fill>
                <patternFill>
                  <bgColor indexed="52"/>
                </patternFill>
              </fill>
            </x14:dxf>
          </x14:cfRule>
          <xm:sqref>DX25</xm:sqref>
        </x14:conditionalFormatting>
        <x14:conditionalFormatting xmlns:xm="http://schemas.microsoft.com/office/excel/2006/main">
          <x14:cfRule type="expression" priority="633" stopIfTrue="1" id="{76A2132B-5960-439F-BB5A-AF62150E0BBA}">
            <xm:f>(60 * HOUR(DY25) + MINUTE(DY25)) &gt;(60 * HOUR(INDEX('1.Locations'!G2:G32,DS25 + 1)) +MINUTE(INDEX('1.Locations'!G2:G32,DS25 + 1)))</xm:f>
            <x14:dxf>
              <fill>
                <patternFill>
                  <bgColor indexed="10"/>
                </patternFill>
              </fill>
            </x14:dxf>
          </x14:cfRule>
          <xm:sqref>DY25</xm:sqref>
        </x14:conditionalFormatting>
        <x14:conditionalFormatting xmlns:xm="http://schemas.microsoft.com/office/excel/2006/main">
          <x14:cfRule type="cellIs" priority="634" stopIfTrue="1" operator="lessThan" id="{F0C80278-BDFC-452E-B0A3-EC7ED2A5A245}">
            <xm:f>INDEX('1.Locations'!F2:F32,DS26 + 1)</xm:f>
            <x14:dxf>
              <fill>
                <patternFill>
                  <bgColor indexed="52"/>
                </patternFill>
              </fill>
            </x14:dxf>
          </x14:cfRule>
          <xm:sqref>DX26</xm:sqref>
        </x14:conditionalFormatting>
        <x14:conditionalFormatting xmlns:xm="http://schemas.microsoft.com/office/excel/2006/main">
          <x14:cfRule type="expression" priority="635" stopIfTrue="1" id="{611DBD7D-6CF0-4F52-AEE7-8C945893B454}">
            <xm:f>(60 * HOUR(DY26) + MINUTE(DY26)) &gt;(60 * HOUR(INDEX('1.Locations'!G2:G32,DS26 + 1)) +MINUTE(INDEX('1.Locations'!G2:G32,DS26 + 1)))</xm:f>
            <x14:dxf>
              <fill>
                <patternFill>
                  <bgColor indexed="10"/>
                </patternFill>
              </fill>
            </x14:dxf>
          </x14:cfRule>
          <xm:sqref>DY26</xm:sqref>
        </x14:conditionalFormatting>
        <x14:conditionalFormatting xmlns:xm="http://schemas.microsoft.com/office/excel/2006/main">
          <x14:cfRule type="cellIs" priority="636" stopIfTrue="1" operator="lessThan" id="{2D5F020E-C942-4472-B396-7DD386C9703C}">
            <xm:f>INDEX('1.Locations'!F2:F32,DS27 + 1)</xm:f>
            <x14:dxf>
              <fill>
                <patternFill>
                  <bgColor indexed="52"/>
                </patternFill>
              </fill>
            </x14:dxf>
          </x14:cfRule>
          <xm:sqref>DX27</xm:sqref>
        </x14:conditionalFormatting>
        <x14:conditionalFormatting xmlns:xm="http://schemas.microsoft.com/office/excel/2006/main">
          <x14:cfRule type="expression" priority="637" stopIfTrue="1" id="{5210F22E-2978-40E5-AA3A-36F153F52526}">
            <xm:f>(60 * HOUR(DY27) + MINUTE(DY27)) &gt;(60 * HOUR(INDEX('1.Locations'!G2:G32,DS27 + 1)) +MINUTE(INDEX('1.Locations'!G2:G32,DS27 + 1)))</xm:f>
            <x14:dxf>
              <fill>
                <patternFill>
                  <bgColor indexed="10"/>
                </patternFill>
              </fill>
            </x14:dxf>
          </x14:cfRule>
          <xm:sqref>DY27</xm:sqref>
        </x14:conditionalFormatting>
        <x14:conditionalFormatting xmlns:xm="http://schemas.microsoft.com/office/excel/2006/main">
          <x14:cfRule type="cellIs" priority="638" stopIfTrue="1" operator="lessThan" id="{B8F6EF87-BD18-4922-A517-386F0D230E59}">
            <xm:f>INDEX('1.Locations'!F2:F32,DS28 + 1)</xm:f>
            <x14:dxf>
              <fill>
                <patternFill>
                  <bgColor indexed="52"/>
                </patternFill>
              </fill>
            </x14:dxf>
          </x14:cfRule>
          <xm:sqref>DX28</xm:sqref>
        </x14:conditionalFormatting>
        <x14:conditionalFormatting xmlns:xm="http://schemas.microsoft.com/office/excel/2006/main">
          <x14:cfRule type="expression" priority="639" stopIfTrue="1" id="{975B86A2-3F87-419F-87B2-AB5F4CBDFA78}">
            <xm:f>(60 * HOUR(DY28) + MINUTE(DY28)) &gt;(60 * HOUR(INDEX('1.Locations'!G2:G32,DS28 + 1)) +MINUTE(INDEX('1.Locations'!G2:G32,DS28 + 1)))</xm:f>
            <x14:dxf>
              <fill>
                <patternFill>
                  <bgColor indexed="10"/>
                </patternFill>
              </fill>
            </x14:dxf>
          </x14:cfRule>
          <xm:sqref>DY28</xm:sqref>
        </x14:conditionalFormatting>
        <x14:conditionalFormatting xmlns:xm="http://schemas.microsoft.com/office/excel/2006/main">
          <x14:cfRule type="cellIs" priority="640" stopIfTrue="1" operator="lessThan" id="{DEA210AE-C214-4FB0-BFD3-A257C1FB6A4B}">
            <xm:f>INDEX('1.Locations'!F2:F32,DS29 + 1)</xm:f>
            <x14:dxf>
              <fill>
                <patternFill>
                  <bgColor indexed="52"/>
                </patternFill>
              </fill>
            </x14:dxf>
          </x14:cfRule>
          <xm:sqref>DX29</xm:sqref>
        </x14:conditionalFormatting>
        <x14:conditionalFormatting xmlns:xm="http://schemas.microsoft.com/office/excel/2006/main">
          <x14:cfRule type="expression" priority="641" stopIfTrue="1" id="{35AE195F-0E0B-4C2B-B096-F4397C69E110}">
            <xm:f>(60 * HOUR(DY29) + MINUTE(DY29)) &gt;(60 * HOUR(INDEX('1.Locations'!G2:G32,DS29 + 1)) +MINUTE(INDEX('1.Locations'!G2:G32,DS29 + 1)))</xm:f>
            <x14:dxf>
              <fill>
                <patternFill>
                  <bgColor indexed="10"/>
                </patternFill>
              </fill>
            </x14:dxf>
          </x14:cfRule>
          <xm:sqref>DY29</xm:sqref>
        </x14:conditionalFormatting>
        <x14:conditionalFormatting xmlns:xm="http://schemas.microsoft.com/office/excel/2006/main">
          <x14:cfRule type="cellIs" priority="642" stopIfTrue="1" operator="lessThan" id="{6C7375AF-9173-4B9E-BBB3-29068A2ED740}">
            <xm:f>INDEX('1.Locations'!F2:F32,DS30 + 1)</xm:f>
            <x14:dxf>
              <fill>
                <patternFill>
                  <bgColor indexed="52"/>
                </patternFill>
              </fill>
            </x14:dxf>
          </x14:cfRule>
          <xm:sqref>DX30</xm:sqref>
        </x14:conditionalFormatting>
        <x14:conditionalFormatting xmlns:xm="http://schemas.microsoft.com/office/excel/2006/main">
          <x14:cfRule type="expression" priority="643" stopIfTrue="1" id="{2248C875-A06C-489C-B99A-805F3DFFE35A}">
            <xm:f>(60 * HOUR(DY30) + MINUTE(DY30)) &gt;(60 * HOUR(INDEX('1.Locations'!G2:G32,DS30 + 1)) +MINUTE(INDEX('1.Locations'!G2:G32,DS30 + 1)))</xm:f>
            <x14:dxf>
              <fill>
                <patternFill>
                  <bgColor indexed="10"/>
                </patternFill>
              </fill>
            </x14:dxf>
          </x14:cfRule>
          <xm:sqref>DY30</xm:sqref>
        </x14:conditionalFormatting>
        <x14:conditionalFormatting xmlns:xm="http://schemas.microsoft.com/office/excel/2006/main">
          <x14:cfRule type="cellIs" priority="644" stopIfTrue="1" operator="lessThan" id="{A9FB4457-67ED-4B20-94D3-D4B9D683F98C}">
            <xm:f>INDEX('1.Locations'!F2:F32,DS31 + 1)</xm:f>
            <x14:dxf>
              <fill>
                <patternFill>
                  <bgColor indexed="52"/>
                </patternFill>
              </fill>
            </x14:dxf>
          </x14:cfRule>
          <xm:sqref>DX31</xm:sqref>
        </x14:conditionalFormatting>
        <x14:conditionalFormatting xmlns:xm="http://schemas.microsoft.com/office/excel/2006/main">
          <x14:cfRule type="expression" priority="645" stopIfTrue="1" id="{070FC169-D298-4B47-9E2C-7F42D90A2BAE}">
            <xm:f>(60 * HOUR(DY31) + MINUTE(DY31)) &gt;(60 * HOUR(INDEX('1.Locations'!G2:G32,DS31 + 1)) +MINUTE(INDEX('1.Locations'!G2:G32,DS31 + 1)))</xm:f>
            <x14:dxf>
              <fill>
                <patternFill>
                  <bgColor indexed="10"/>
                </patternFill>
              </fill>
            </x14:dxf>
          </x14:cfRule>
          <xm:sqref>DY31</xm:sqref>
        </x14:conditionalFormatting>
        <x14:conditionalFormatting xmlns:xm="http://schemas.microsoft.com/office/excel/2006/main">
          <x14:cfRule type="cellIs" priority="646" stopIfTrue="1" operator="lessThan" id="{39ED555C-53CD-4FA8-9378-A1CC1079ECF4}">
            <xm:f>INDEX('1.Locations'!F2:F32,DS32 + 1)</xm:f>
            <x14:dxf>
              <fill>
                <patternFill>
                  <bgColor indexed="52"/>
                </patternFill>
              </fill>
            </x14:dxf>
          </x14:cfRule>
          <xm:sqref>DX32</xm:sqref>
        </x14:conditionalFormatting>
        <x14:conditionalFormatting xmlns:xm="http://schemas.microsoft.com/office/excel/2006/main">
          <x14:cfRule type="expression" priority="647" stopIfTrue="1" id="{E331703D-4328-4F24-922C-E607D5FA6767}">
            <xm:f>(60 * HOUR(DY32) + MINUTE(DY32)) &gt;(60 * HOUR(INDEX('1.Locations'!G2:G32,DS32 + 1)) +MINUTE(INDEX('1.Locations'!G2:G32,DS32 + 1)))</xm:f>
            <x14:dxf>
              <fill>
                <patternFill>
                  <bgColor indexed="10"/>
                </patternFill>
              </fill>
            </x14:dxf>
          </x14:cfRule>
          <xm:sqref>DY32</xm:sqref>
        </x14:conditionalFormatting>
        <x14:conditionalFormatting xmlns:xm="http://schemas.microsoft.com/office/excel/2006/main">
          <x14:cfRule type="cellIs" priority="648" stopIfTrue="1" operator="lessThan" id="{A3A6E7EB-5FDD-4DF3-90AC-7E053C57E33C}">
            <xm:f>INDEX('1.Locations'!F2:F32,DS33 + 1)</xm:f>
            <x14:dxf>
              <fill>
                <patternFill>
                  <bgColor indexed="52"/>
                </patternFill>
              </fill>
            </x14:dxf>
          </x14:cfRule>
          <xm:sqref>DX33</xm:sqref>
        </x14:conditionalFormatting>
        <x14:conditionalFormatting xmlns:xm="http://schemas.microsoft.com/office/excel/2006/main">
          <x14:cfRule type="expression" priority="649" stopIfTrue="1" id="{4A92125D-A849-482C-99E1-3EBFF8AD4682}">
            <xm:f>(60 * HOUR(DY33) + MINUTE(DY33)) &gt;(60 * HOUR(INDEX('1.Locations'!G2:G32,DS33 + 1)) +MINUTE(INDEX('1.Locations'!G2:G32,DS33 + 1)))</xm:f>
            <x14:dxf>
              <fill>
                <patternFill>
                  <bgColor indexed="10"/>
                </patternFill>
              </fill>
            </x14:dxf>
          </x14:cfRule>
          <xm:sqref>DY33</xm:sqref>
        </x14:conditionalFormatting>
        <x14:conditionalFormatting xmlns:xm="http://schemas.microsoft.com/office/excel/2006/main">
          <x14:cfRule type="cellIs" priority="650" stopIfTrue="1" operator="lessThan" id="{3F182D79-C7CF-48E2-B00C-6E00A9DF5BD5}">
            <xm:f>INDEX('1.Locations'!F2:F32,DS34 + 1)</xm:f>
            <x14:dxf>
              <fill>
                <patternFill>
                  <bgColor indexed="52"/>
                </patternFill>
              </fill>
            </x14:dxf>
          </x14:cfRule>
          <xm:sqref>DX34</xm:sqref>
        </x14:conditionalFormatting>
        <x14:conditionalFormatting xmlns:xm="http://schemas.microsoft.com/office/excel/2006/main">
          <x14:cfRule type="expression" priority="651" stopIfTrue="1" id="{7B471202-96B8-4617-BC96-6FA1A53F98EF}">
            <xm:f>(60 * HOUR(DY34) + MINUTE(DY34)) &gt;(60 * HOUR(INDEX('1.Locations'!G2:G32,DS34 + 1)) +MINUTE(INDEX('1.Locations'!G2:G32,DS34 + 1)))</xm:f>
            <x14:dxf>
              <fill>
                <patternFill>
                  <bgColor indexed="10"/>
                </patternFill>
              </fill>
            </x14:dxf>
          </x14:cfRule>
          <xm:sqref>DY34</xm:sqref>
        </x14:conditionalFormatting>
        <x14:conditionalFormatting xmlns:xm="http://schemas.microsoft.com/office/excel/2006/main">
          <x14:cfRule type="cellIs" priority="652" stopIfTrue="1" operator="lessThan" id="{9FAEB9DE-75B6-4205-A8E3-A9E8321E7AC0}">
            <xm:f>INDEX('1.Locations'!F2:F32,DS35 + 1)</xm:f>
            <x14:dxf>
              <fill>
                <patternFill>
                  <bgColor indexed="52"/>
                </patternFill>
              </fill>
            </x14:dxf>
          </x14:cfRule>
          <xm:sqref>DX35</xm:sqref>
        </x14:conditionalFormatting>
        <x14:conditionalFormatting xmlns:xm="http://schemas.microsoft.com/office/excel/2006/main">
          <x14:cfRule type="expression" priority="653" stopIfTrue="1" id="{E8AD6AEF-9E40-435B-B122-5D1E900429F6}">
            <xm:f>(60 * HOUR(DY35) + MINUTE(DY35)) &gt;(60 * HOUR(INDEX('1.Locations'!G2:G32,DS35 + 1)) +MINUTE(INDEX('1.Locations'!G2:G32,DS35 + 1)))</xm:f>
            <x14:dxf>
              <fill>
                <patternFill>
                  <bgColor indexed="10"/>
                </patternFill>
              </fill>
            </x14:dxf>
          </x14:cfRule>
          <xm:sqref>DY35</xm:sqref>
        </x14:conditionalFormatting>
        <x14:conditionalFormatting xmlns:xm="http://schemas.microsoft.com/office/excel/2006/main">
          <x14:cfRule type="cellIs" priority="654" stopIfTrue="1" operator="lessThan" id="{33587018-9523-4B89-94A7-4C1943443FE2}">
            <xm:f>INDEX('1.Locations'!F2:F32,DS36 + 1)</xm:f>
            <x14:dxf>
              <fill>
                <patternFill>
                  <bgColor indexed="52"/>
                </patternFill>
              </fill>
            </x14:dxf>
          </x14:cfRule>
          <xm:sqref>DX36</xm:sqref>
        </x14:conditionalFormatting>
        <x14:conditionalFormatting xmlns:xm="http://schemas.microsoft.com/office/excel/2006/main">
          <x14:cfRule type="expression" priority="655" stopIfTrue="1" id="{8B649232-CA01-42B8-9B2E-AFA40E4BCBB3}">
            <xm:f>(60 * HOUR(DY36) + MINUTE(DY36)) &gt;(60 * HOUR(INDEX('1.Locations'!G2:G32,DS36 + 1)) +MINUTE(INDEX('1.Locations'!G2:G32,DS36 + 1)))</xm:f>
            <x14:dxf>
              <fill>
                <patternFill>
                  <bgColor indexed="10"/>
                </patternFill>
              </fill>
            </x14:dxf>
          </x14:cfRule>
          <xm:sqref>DY36</xm:sqref>
        </x14:conditionalFormatting>
        <x14:conditionalFormatting xmlns:xm="http://schemas.microsoft.com/office/excel/2006/main">
          <x14:cfRule type="cellIs" priority="656" stopIfTrue="1" operator="greaterThan" id="{349AF627-CA52-4954-84AD-7ACB6CC01065}">
            <xm:f>'3.Vehicles'!$F$2</xm:f>
            <x14:dxf>
              <fill>
                <patternFill>
                  <bgColor indexed="10"/>
                </patternFill>
              </fill>
            </x14:dxf>
          </x14:cfRule>
          <xm:sqref>DV6:DV36</xm:sqref>
        </x14:conditionalFormatting>
        <x14:conditionalFormatting xmlns:xm="http://schemas.microsoft.com/office/excel/2006/main">
          <x14:cfRule type="cellIs" priority="657" stopIfTrue="1" operator="greaterThan" id="{1A3CB79D-E252-4815-BF99-26E598C911D9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ED5:ED36</xm:sqref>
        </x14:conditionalFormatting>
        <x14:conditionalFormatting xmlns:xm="http://schemas.microsoft.com/office/excel/2006/main">
          <x14:cfRule type="cellIs" priority="659" stopIfTrue="1" operator="greaterThan" id="{3E83E31D-0710-4F00-AC19-2ADB3F02A41A}">
            <xm:f>'3.Vehicles'!$H$2</xm:f>
            <x14:dxf>
              <fill>
                <patternFill>
                  <bgColor indexed="10"/>
                </patternFill>
              </fill>
            </x14:dxf>
          </x14:cfRule>
          <xm:sqref>DW6:DW36</xm:sqref>
        </x14:conditionalFormatting>
        <x14:conditionalFormatting xmlns:xm="http://schemas.microsoft.com/office/excel/2006/main">
          <x14:cfRule type="cellIs" priority="660" stopIfTrue="1" operator="greaterThan" id="{C5910AA1-902D-43BD-9353-63A065FF35FC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DZ6:DZ36</xm:sqref>
        </x14:conditionalFormatting>
        <x14:conditionalFormatting xmlns:xm="http://schemas.microsoft.com/office/excel/2006/main">
          <x14:cfRule type="expression" priority="662" stopIfTrue="1" id="{D7703B6F-6987-4944-982C-96FF46CA8967}">
            <xm:f>(60 * HOUR(EN5) + MINUTE(EN5)) &gt;(60 * HOUR(INDEX('1.Locations'!G2:G32,EH5 + 1)) +MINUTE(INDEX('1.Locations'!G2:G32,EH5 + 1)))</xm:f>
            <x14:dxf>
              <fill>
                <patternFill>
                  <bgColor indexed="10"/>
                </patternFill>
              </fill>
            </x14:dxf>
          </x14:cfRule>
          <xm:sqref>EN5</xm:sqref>
        </x14:conditionalFormatting>
        <x14:conditionalFormatting xmlns:xm="http://schemas.microsoft.com/office/excel/2006/main">
          <x14:cfRule type="cellIs" priority="663" stopIfTrue="1" operator="lessThan" id="{73C7B7A1-32EC-4849-8A9D-AD37AFC9055C}">
            <xm:f>INDEX('1.Locations'!F2:F32,EH6 + 1)</xm:f>
            <x14:dxf>
              <fill>
                <patternFill>
                  <bgColor indexed="52"/>
                </patternFill>
              </fill>
            </x14:dxf>
          </x14:cfRule>
          <xm:sqref>EM6</xm:sqref>
        </x14:conditionalFormatting>
        <x14:conditionalFormatting xmlns:xm="http://schemas.microsoft.com/office/excel/2006/main">
          <x14:cfRule type="expression" priority="664" stopIfTrue="1" id="{F2BD9F32-4E9A-4AC1-82B8-1170C13774FE}">
            <xm:f>(60 * HOUR(EN6) + MINUTE(EN6)) &gt;(60 * HOUR(INDEX('1.Locations'!G2:G32,EH6 + 1)) +MINUTE(INDEX('1.Locations'!G2:G32,EH6 + 1)))</xm:f>
            <x14:dxf>
              <fill>
                <patternFill>
                  <bgColor indexed="10"/>
                </patternFill>
              </fill>
            </x14:dxf>
          </x14:cfRule>
          <xm:sqref>EN6</xm:sqref>
        </x14:conditionalFormatting>
        <x14:conditionalFormatting xmlns:xm="http://schemas.microsoft.com/office/excel/2006/main">
          <x14:cfRule type="cellIs" priority="665" stopIfTrue="1" operator="lessThan" id="{1E433C84-A3B2-453A-B024-1E0219523BE2}">
            <xm:f>INDEX('1.Locations'!F2:F32,EH7 + 1)</xm:f>
            <x14:dxf>
              <fill>
                <patternFill>
                  <bgColor indexed="52"/>
                </patternFill>
              </fill>
            </x14:dxf>
          </x14:cfRule>
          <xm:sqref>EM7</xm:sqref>
        </x14:conditionalFormatting>
        <x14:conditionalFormatting xmlns:xm="http://schemas.microsoft.com/office/excel/2006/main">
          <x14:cfRule type="expression" priority="666" stopIfTrue="1" id="{9D01C001-6AC7-4645-9140-380FC4EE7B31}">
            <xm:f>(60 * HOUR(EN7) + MINUTE(EN7)) &gt;(60 * HOUR(INDEX('1.Locations'!G2:G32,EH7 + 1)) +MINUTE(INDEX('1.Locations'!G2:G32,EH7 + 1)))</xm:f>
            <x14:dxf>
              <fill>
                <patternFill>
                  <bgColor indexed="10"/>
                </patternFill>
              </fill>
            </x14:dxf>
          </x14:cfRule>
          <xm:sqref>EN7</xm:sqref>
        </x14:conditionalFormatting>
        <x14:conditionalFormatting xmlns:xm="http://schemas.microsoft.com/office/excel/2006/main">
          <x14:cfRule type="cellIs" priority="667" stopIfTrue="1" operator="lessThan" id="{30B3CDCA-4FCA-42AB-BA4F-4D65C055338D}">
            <xm:f>INDEX('1.Locations'!F2:F32,EH8 + 1)</xm:f>
            <x14:dxf>
              <fill>
                <patternFill>
                  <bgColor indexed="52"/>
                </patternFill>
              </fill>
            </x14:dxf>
          </x14:cfRule>
          <xm:sqref>EM8</xm:sqref>
        </x14:conditionalFormatting>
        <x14:conditionalFormatting xmlns:xm="http://schemas.microsoft.com/office/excel/2006/main">
          <x14:cfRule type="expression" priority="668" stopIfTrue="1" id="{70DCC20D-A9EB-4126-BA7A-8C7B4FAD653B}">
            <xm:f>(60 * HOUR(EN8) + MINUTE(EN8)) &gt;(60 * HOUR(INDEX('1.Locations'!G2:G32,EH8 + 1)) +MINUTE(INDEX('1.Locations'!G2:G32,EH8 + 1)))</xm:f>
            <x14:dxf>
              <fill>
                <patternFill>
                  <bgColor indexed="10"/>
                </patternFill>
              </fill>
            </x14:dxf>
          </x14:cfRule>
          <xm:sqref>EN8</xm:sqref>
        </x14:conditionalFormatting>
        <x14:conditionalFormatting xmlns:xm="http://schemas.microsoft.com/office/excel/2006/main">
          <x14:cfRule type="cellIs" priority="669" stopIfTrue="1" operator="lessThan" id="{D635D3F0-BA3F-4316-8B8F-C8C2204D6D2A}">
            <xm:f>INDEX('1.Locations'!F2:F32,EH9 + 1)</xm:f>
            <x14:dxf>
              <fill>
                <patternFill>
                  <bgColor indexed="52"/>
                </patternFill>
              </fill>
            </x14:dxf>
          </x14:cfRule>
          <xm:sqref>EM9</xm:sqref>
        </x14:conditionalFormatting>
        <x14:conditionalFormatting xmlns:xm="http://schemas.microsoft.com/office/excel/2006/main">
          <x14:cfRule type="expression" priority="670" stopIfTrue="1" id="{0CB66C5E-B2A2-4548-BA24-7FBF632714DA}">
            <xm:f>(60 * HOUR(EN9) + MINUTE(EN9)) &gt;(60 * HOUR(INDEX('1.Locations'!G2:G32,EH9 + 1)) +MINUTE(INDEX('1.Locations'!G2:G32,EH9 + 1)))</xm:f>
            <x14:dxf>
              <fill>
                <patternFill>
                  <bgColor indexed="10"/>
                </patternFill>
              </fill>
            </x14:dxf>
          </x14:cfRule>
          <xm:sqref>EN9</xm:sqref>
        </x14:conditionalFormatting>
        <x14:conditionalFormatting xmlns:xm="http://schemas.microsoft.com/office/excel/2006/main">
          <x14:cfRule type="cellIs" priority="671" stopIfTrue="1" operator="lessThan" id="{CA97C4BB-5CDF-41AB-A81D-9CB81E1C5C1B}">
            <xm:f>INDEX('1.Locations'!F2:F32,EH10 + 1)</xm:f>
            <x14:dxf>
              <fill>
                <patternFill>
                  <bgColor indexed="52"/>
                </patternFill>
              </fill>
            </x14:dxf>
          </x14:cfRule>
          <xm:sqref>EM10</xm:sqref>
        </x14:conditionalFormatting>
        <x14:conditionalFormatting xmlns:xm="http://schemas.microsoft.com/office/excel/2006/main">
          <x14:cfRule type="expression" priority="672" stopIfTrue="1" id="{09B586E9-EB24-4C0E-853E-F7C4C944025F}">
            <xm:f>(60 * HOUR(EN10) + MINUTE(EN10)) &gt;(60 * HOUR(INDEX('1.Locations'!G2:G32,EH10 + 1)) +MINUTE(INDEX('1.Locations'!G2:G32,EH10 + 1)))</xm:f>
            <x14:dxf>
              <fill>
                <patternFill>
                  <bgColor indexed="10"/>
                </patternFill>
              </fill>
            </x14:dxf>
          </x14:cfRule>
          <xm:sqref>EN10</xm:sqref>
        </x14:conditionalFormatting>
        <x14:conditionalFormatting xmlns:xm="http://schemas.microsoft.com/office/excel/2006/main">
          <x14:cfRule type="cellIs" priority="673" stopIfTrue="1" operator="lessThan" id="{B1DE6941-6F53-4AD6-953A-16026E23FB2B}">
            <xm:f>INDEX('1.Locations'!F2:F32,EH11 + 1)</xm:f>
            <x14:dxf>
              <fill>
                <patternFill>
                  <bgColor indexed="52"/>
                </patternFill>
              </fill>
            </x14:dxf>
          </x14:cfRule>
          <xm:sqref>EM11</xm:sqref>
        </x14:conditionalFormatting>
        <x14:conditionalFormatting xmlns:xm="http://schemas.microsoft.com/office/excel/2006/main">
          <x14:cfRule type="expression" priority="674" stopIfTrue="1" id="{CE1BA7CF-D8FB-4F02-9954-DBB321124D87}">
            <xm:f>(60 * HOUR(EN11) + MINUTE(EN11)) &gt;(60 * HOUR(INDEX('1.Locations'!G2:G32,EH11 + 1)) +MINUTE(INDEX('1.Locations'!G2:G32,EH11 + 1)))</xm:f>
            <x14:dxf>
              <fill>
                <patternFill>
                  <bgColor indexed="10"/>
                </patternFill>
              </fill>
            </x14:dxf>
          </x14:cfRule>
          <xm:sqref>EN11</xm:sqref>
        </x14:conditionalFormatting>
        <x14:conditionalFormatting xmlns:xm="http://schemas.microsoft.com/office/excel/2006/main">
          <x14:cfRule type="cellIs" priority="675" stopIfTrue="1" operator="lessThan" id="{88B45B8E-A9E2-4579-BB88-22B1B318F8B6}">
            <xm:f>INDEX('1.Locations'!F2:F32,EH12 + 1)</xm:f>
            <x14:dxf>
              <fill>
                <patternFill>
                  <bgColor indexed="52"/>
                </patternFill>
              </fill>
            </x14:dxf>
          </x14:cfRule>
          <xm:sqref>EM12</xm:sqref>
        </x14:conditionalFormatting>
        <x14:conditionalFormatting xmlns:xm="http://schemas.microsoft.com/office/excel/2006/main">
          <x14:cfRule type="expression" priority="676" stopIfTrue="1" id="{76A86984-F24B-49DD-BBB2-6FC732E5C331}">
            <xm:f>(60 * HOUR(EN12) + MINUTE(EN12)) &gt;(60 * HOUR(INDEX('1.Locations'!G2:G32,EH12 + 1)) +MINUTE(INDEX('1.Locations'!G2:G32,EH12 + 1)))</xm:f>
            <x14:dxf>
              <fill>
                <patternFill>
                  <bgColor indexed="10"/>
                </patternFill>
              </fill>
            </x14:dxf>
          </x14:cfRule>
          <xm:sqref>EN12</xm:sqref>
        </x14:conditionalFormatting>
        <x14:conditionalFormatting xmlns:xm="http://schemas.microsoft.com/office/excel/2006/main">
          <x14:cfRule type="cellIs" priority="677" stopIfTrue="1" operator="lessThan" id="{0103BF98-0B25-4D8E-B753-145D600D2087}">
            <xm:f>INDEX('1.Locations'!F2:F32,EH13 + 1)</xm:f>
            <x14:dxf>
              <fill>
                <patternFill>
                  <bgColor indexed="52"/>
                </patternFill>
              </fill>
            </x14:dxf>
          </x14:cfRule>
          <xm:sqref>EM13</xm:sqref>
        </x14:conditionalFormatting>
        <x14:conditionalFormatting xmlns:xm="http://schemas.microsoft.com/office/excel/2006/main">
          <x14:cfRule type="expression" priority="678" stopIfTrue="1" id="{792E985B-7631-406E-A42F-7BB34585CA04}">
            <xm:f>(60 * HOUR(EN13) + MINUTE(EN13)) &gt;(60 * HOUR(INDEX('1.Locations'!G2:G32,EH13 + 1)) +MINUTE(INDEX('1.Locations'!G2:G32,EH13 + 1)))</xm:f>
            <x14:dxf>
              <fill>
                <patternFill>
                  <bgColor indexed="10"/>
                </patternFill>
              </fill>
            </x14:dxf>
          </x14:cfRule>
          <xm:sqref>EN13</xm:sqref>
        </x14:conditionalFormatting>
        <x14:conditionalFormatting xmlns:xm="http://schemas.microsoft.com/office/excel/2006/main">
          <x14:cfRule type="cellIs" priority="679" stopIfTrue="1" operator="lessThan" id="{036FAE47-2F9A-423D-9490-3ED487E8AC10}">
            <xm:f>INDEX('1.Locations'!F2:F32,EH14 + 1)</xm:f>
            <x14:dxf>
              <fill>
                <patternFill>
                  <bgColor indexed="52"/>
                </patternFill>
              </fill>
            </x14:dxf>
          </x14:cfRule>
          <xm:sqref>EM14</xm:sqref>
        </x14:conditionalFormatting>
        <x14:conditionalFormatting xmlns:xm="http://schemas.microsoft.com/office/excel/2006/main">
          <x14:cfRule type="expression" priority="680" stopIfTrue="1" id="{2B6D0AA7-1A7F-45C6-8A4C-0144819CCD4C}">
            <xm:f>(60 * HOUR(EN14) + MINUTE(EN14)) &gt;(60 * HOUR(INDEX('1.Locations'!G2:G32,EH14 + 1)) +MINUTE(INDEX('1.Locations'!G2:G32,EH14 + 1)))</xm:f>
            <x14:dxf>
              <fill>
                <patternFill>
                  <bgColor indexed="10"/>
                </patternFill>
              </fill>
            </x14:dxf>
          </x14:cfRule>
          <xm:sqref>EN14</xm:sqref>
        </x14:conditionalFormatting>
        <x14:conditionalFormatting xmlns:xm="http://schemas.microsoft.com/office/excel/2006/main">
          <x14:cfRule type="cellIs" priority="681" stopIfTrue="1" operator="lessThan" id="{B2BB4EDB-FB23-4B3B-A4E0-6E8D47749331}">
            <xm:f>INDEX('1.Locations'!F2:F32,EH15 + 1)</xm:f>
            <x14:dxf>
              <fill>
                <patternFill>
                  <bgColor indexed="52"/>
                </patternFill>
              </fill>
            </x14:dxf>
          </x14:cfRule>
          <xm:sqref>EM15</xm:sqref>
        </x14:conditionalFormatting>
        <x14:conditionalFormatting xmlns:xm="http://schemas.microsoft.com/office/excel/2006/main">
          <x14:cfRule type="expression" priority="682" stopIfTrue="1" id="{5292F4DE-1F14-4FFA-9A20-4D58C01D7D1C}">
            <xm:f>(60 * HOUR(EN15) + MINUTE(EN15)) &gt;(60 * HOUR(INDEX('1.Locations'!G2:G32,EH15 + 1)) +MINUTE(INDEX('1.Locations'!G2:G32,EH15 + 1)))</xm:f>
            <x14:dxf>
              <fill>
                <patternFill>
                  <bgColor indexed="10"/>
                </patternFill>
              </fill>
            </x14:dxf>
          </x14:cfRule>
          <xm:sqref>EN15</xm:sqref>
        </x14:conditionalFormatting>
        <x14:conditionalFormatting xmlns:xm="http://schemas.microsoft.com/office/excel/2006/main">
          <x14:cfRule type="cellIs" priority="683" stopIfTrue="1" operator="lessThan" id="{F0034991-3352-4E7E-98C5-60538752D2C2}">
            <xm:f>INDEX('1.Locations'!F2:F32,EH16 + 1)</xm:f>
            <x14:dxf>
              <fill>
                <patternFill>
                  <bgColor indexed="52"/>
                </patternFill>
              </fill>
            </x14:dxf>
          </x14:cfRule>
          <xm:sqref>EM16</xm:sqref>
        </x14:conditionalFormatting>
        <x14:conditionalFormatting xmlns:xm="http://schemas.microsoft.com/office/excel/2006/main">
          <x14:cfRule type="expression" priority="684" stopIfTrue="1" id="{A1E5E93E-A846-4060-A579-35832AD4F31B}">
            <xm:f>(60 * HOUR(EN16) + MINUTE(EN16)) &gt;(60 * HOUR(INDEX('1.Locations'!G2:G32,EH16 + 1)) +MINUTE(INDEX('1.Locations'!G2:G32,EH16 + 1)))</xm:f>
            <x14:dxf>
              <fill>
                <patternFill>
                  <bgColor indexed="10"/>
                </patternFill>
              </fill>
            </x14:dxf>
          </x14:cfRule>
          <xm:sqref>EN16</xm:sqref>
        </x14:conditionalFormatting>
        <x14:conditionalFormatting xmlns:xm="http://schemas.microsoft.com/office/excel/2006/main">
          <x14:cfRule type="cellIs" priority="685" stopIfTrue="1" operator="lessThan" id="{077212E8-01E5-4D19-A9DE-CFB05AA7099E}">
            <xm:f>INDEX('1.Locations'!F2:F32,EH17 + 1)</xm:f>
            <x14:dxf>
              <fill>
                <patternFill>
                  <bgColor indexed="52"/>
                </patternFill>
              </fill>
            </x14:dxf>
          </x14:cfRule>
          <xm:sqref>EM17</xm:sqref>
        </x14:conditionalFormatting>
        <x14:conditionalFormatting xmlns:xm="http://schemas.microsoft.com/office/excel/2006/main">
          <x14:cfRule type="expression" priority="686" stopIfTrue="1" id="{2190C243-89C2-415E-835B-5400482D7A12}">
            <xm:f>(60 * HOUR(EN17) + MINUTE(EN17)) &gt;(60 * HOUR(INDEX('1.Locations'!G2:G32,EH17 + 1)) +MINUTE(INDEX('1.Locations'!G2:G32,EH17 + 1)))</xm:f>
            <x14:dxf>
              <fill>
                <patternFill>
                  <bgColor indexed="10"/>
                </patternFill>
              </fill>
            </x14:dxf>
          </x14:cfRule>
          <xm:sqref>EN17</xm:sqref>
        </x14:conditionalFormatting>
        <x14:conditionalFormatting xmlns:xm="http://schemas.microsoft.com/office/excel/2006/main">
          <x14:cfRule type="cellIs" priority="687" stopIfTrue="1" operator="lessThan" id="{3DEE4A71-48D8-4226-9463-ADA4A3B85F6F}">
            <xm:f>INDEX('1.Locations'!F2:F32,EH18 + 1)</xm:f>
            <x14:dxf>
              <fill>
                <patternFill>
                  <bgColor indexed="52"/>
                </patternFill>
              </fill>
            </x14:dxf>
          </x14:cfRule>
          <xm:sqref>EM18</xm:sqref>
        </x14:conditionalFormatting>
        <x14:conditionalFormatting xmlns:xm="http://schemas.microsoft.com/office/excel/2006/main">
          <x14:cfRule type="expression" priority="688" stopIfTrue="1" id="{7CDA8F44-0D5C-4A54-868D-6C818761B8FD}">
            <xm:f>(60 * HOUR(EN18) + MINUTE(EN18)) &gt;(60 * HOUR(INDEX('1.Locations'!G2:G32,EH18 + 1)) +MINUTE(INDEX('1.Locations'!G2:G32,EH18 + 1)))</xm:f>
            <x14:dxf>
              <fill>
                <patternFill>
                  <bgColor indexed="10"/>
                </patternFill>
              </fill>
            </x14:dxf>
          </x14:cfRule>
          <xm:sqref>EN18</xm:sqref>
        </x14:conditionalFormatting>
        <x14:conditionalFormatting xmlns:xm="http://schemas.microsoft.com/office/excel/2006/main">
          <x14:cfRule type="cellIs" priority="689" stopIfTrue="1" operator="lessThan" id="{56812CE6-3C64-4F12-92EA-0E50658CE24F}">
            <xm:f>INDEX('1.Locations'!F2:F32,EH19 + 1)</xm:f>
            <x14:dxf>
              <fill>
                <patternFill>
                  <bgColor indexed="52"/>
                </patternFill>
              </fill>
            </x14:dxf>
          </x14:cfRule>
          <xm:sqref>EM19</xm:sqref>
        </x14:conditionalFormatting>
        <x14:conditionalFormatting xmlns:xm="http://schemas.microsoft.com/office/excel/2006/main">
          <x14:cfRule type="expression" priority="690" stopIfTrue="1" id="{546BD875-E44A-47E2-ACE3-51826C4EED00}">
            <xm:f>(60 * HOUR(EN19) + MINUTE(EN19)) &gt;(60 * HOUR(INDEX('1.Locations'!G2:G32,EH19 + 1)) +MINUTE(INDEX('1.Locations'!G2:G32,EH19 + 1)))</xm:f>
            <x14:dxf>
              <fill>
                <patternFill>
                  <bgColor indexed="10"/>
                </patternFill>
              </fill>
            </x14:dxf>
          </x14:cfRule>
          <xm:sqref>EN19</xm:sqref>
        </x14:conditionalFormatting>
        <x14:conditionalFormatting xmlns:xm="http://schemas.microsoft.com/office/excel/2006/main">
          <x14:cfRule type="cellIs" priority="691" stopIfTrue="1" operator="lessThan" id="{308DFF87-F8CA-468E-9F61-8F8F4B42BAEF}">
            <xm:f>INDEX('1.Locations'!F2:F32,EH20 + 1)</xm:f>
            <x14:dxf>
              <fill>
                <patternFill>
                  <bgColor indexed="52"/>
                </patternFill>
              </fill>
            </x14:dxf>
          </x14:cfRule>
          <xm:sqref>EM20</xm:sqref>
        </x14:conditionalFormatting>
        <x14:conditionalFormatting xmlns:xm="http://schemas.microsoft.com/office/excel/2006/main">
          <x14:cfRule type="expression" priority="692" stopIfTrue="1" id="{8A35345A-9F54-494F-8FD1-E0431611842E}">
            <xm:f>(60 * HOUR(EN20) + MINUTE(EN20)) &gt;(60 * HOUR(INDEX('1.Locations'!G2:G32,EH20 + 1)) +MINUTE(INDEX('1.Locations'!G2:G32,EH20 + 1)))</xm:f>
            <x14:dxf>
              <fill>
                <patternFill>
                  <bgColor indexed="10"/>
                </patternFill>
              </fill>
            </x14:dxf>
          </x14:cfRule>
          <xm:sqref>EN20</xm:sqref>
        </x14:conditionalFormatting>
        <x14:conditionalFormatting xmlns:xm="http://schemas.microsoft.com/office/excel/2006/main">
          <x14:cfRule type="cellIs" priority="693" stopIfTrue="1" operator="lessThan" id="{64C12DFD-87D3-4F82-8609-BC8FF316A0C5}">
            <xm:f>INDEX('1.Locations'!F2:F32,EH21 + 1)</xm:f>
            <x14:dxf>
              <fill>
                <patternFill>
                  <bgColor indexed="52"/>
                </patternFill>
              </fill>
            </x14:dxf>
          </x14:cfRule>
          <xm:sqref>EM21</xm:sqref>
        </x14:conditionalFormatting>
        <x14:conditionalFormatting xmlns:xm="http://schemas.microsoft.com/office/excel/2006/main">
          <x14:cfRule type="expression" priority="694" stopIfTrue="1" id="{A6189703-B5DF-43D9-9C48-493AFE751F22}">
            <xm:f>(60 * HOUR(EN21) + MINUTE(EN21)) &gt;(60 * HOUR(INDEX('1.Locations'!G2:G32,EH21 + 1)) +MINUTE(INDEX('1.Locations'!G2:G32,EH21 + 1)))</xm:f>
            <x14:dxf>
              <fill>
                <patternFill>
                  <bgColor indexed="10"/>
                </patternFill>
              </fill>
            </x14:dxf>
          </x14:cfRule>
          <xm:sqref>EN21</xm:sqref>
        </x14:conditionalFormatting>
        <x14:conditionalFormatting xmlns:xm="http://schemas.microsoft.com/office/excel/2006/main">
          <x14:cfRule type="cellIs" priority="695" stopIfTrue="1" operator="lessThan" id="{831DF830-9347-4B8E-B5E7-A45D4BCDDC9A}">
            <xm:f>INDEX('1.Locations'!F2:F32,EH22 + 1)</xm:f>
            <x14:dxf>
              <fill>
                <patternFill>
                  <bgColor indexed="52"/>
                </patternFill>
              </fill>
            </x14:dxf>
          </x14:cfRule>
          <xm:sqref>EM22</xm:sqref>
        </x14:conditionalFormatting>
        <x14:conditionalFormatting xmlns:xm="http://schemas.microsoft.com/office/excel/2006/main">
          <x14:cfRule type="expression" priority="696" stopIfTrue="1" id="{8F33A611-D4ED-4F02-9500-B6E8A7E60B28}">
            <xm:f>(60 * HOUR(EN22) + MINUTE(EN22)) &gt;(60 * HOUR(INDEX('1.Locations'!G2:G32,EH22 + 1)) +MINUTE(INDEX('1.Locations'!G2:G32,EH22 + 1)))</xm:f>
            <x14:dxf>
              <fill>
                <patternFill>
                  <bgColor indexed="10"/>
                </patternFill>
              </fill>
            </x14:dxf>
          </x14:cfRule>
          <xm:sqref>EN22</xm:sqref>
        </x14:conditionalFormatting>
        <x14:conditionalFormatting xmlns:xm="http://schemas.microsoft.com/office/excel/2006/main">
          <x14:cfRule type="cellIs" priority="697" stopIfTrue="1" operator="lessThan" id="{71FAACD0-BB64-4E42-8D43-2510F87725CF}">
            <xm:f>INDEX('1.Locations'!F2:F32,EH23 + 1)</xm:f>
            <x14:dxf>
              <fill>
                <patternFill>
                  <bgColor indexed="52"/>
                </patternFill>
              </fill>
            </x14:dxf>
          </x14:cfRule>
          <xm:sqref>EM23</xm:sqref>
        </x14:conditionalFormatting>
        <x14:conditionalFormatting xmlns:xm="http://schemas.microsoft.com/office/excel/2006/main">
          <x14:cfRule type="expression" priority="698" stopIfTrue="1" id="{4307FB46-0313-491A-9B54-59E39D59DB62}">
            <xm:f>(60 * HOUR(EN23) + MINUTE(EN23)) &gt;(60 * HOUR(INDEX('1.Locations'!G2:G32,EH23 + 1)) +MINUTE(INDEX('1.Locations'!G2:G32,EH23 + 1)))</xm:f>
            <x14:dxf>
              <fill>
                <patternFill>
                  <bgColor indexed="10"/>
                </patternFill>
              </fill>
            </x14:dxf>
          </x14:cfRule>
          <xm:sqref>EN23</xm:sqref>
        </x14:conditionalFormatting>
        <x14:conditionalFormatting xmlns:xm="http://schemas.microsoft.com/office/excel/2006/main">
          <x14:cfRule type="cellIs" priority="699" stopIfTrue="1" operator="lessThan" id="{8A251998-1C9A-4DE4-A5BE-E0F196525ECD}">
            <xm:f>INDEX('1.Locations'!F2:F32,EH24 + 1)</xm:f>
            <x14:dxf>
              <fill>
                <patternFill>
                  <bgColor indexed="52"/>
                </patternFill>
              </fill>
            </x14:dxf>
          </x14:cfRule>
          <xm:sqref>EM24</xm:sqref>
        </x14:conditionalFormatting>
        <x14:conditionalFormatting xmlns:xm="http://schemas.microsoft.com/office/excel/2006/main">
          <x14:cfRule type="expression" priority="700" stopIfTrue="1" id="{7FE74359-81A9-4F7B-A7A8-110C9498B81D}">
            <xm:f>(60 * HOUR(EN24) + MINUTE(EN24)) &gt;(60 * HOUR(INDEX('1.Locations'!G2:G32,EH24 + 1)) +MINUTE(INDEX('1.Locations'!G2:G32,EH24 + 1)))</xm:f>
            <x14:dxf>
              <fill>
                <patternFill>
                  <bgColor indexed="10"/>
                </patternFill>
              </fill>
            </x14:dxf>
          </x14:cfRule>
          <xm:sqref>EN24</xm:sqref>
        </x14:conditionalFormatting>
        <x14:conditionalFormatting xmlns:xm="http://schemas.microsoft.com/office/excel/2006/main">
          <x14:cfRule type="cellIs" priority="701" stopIfTrue="1" operator="lessThan" id="{16B121C0-D215-4E9C-983A-40B50E7C00F6}">
            <xm:f>INDEX('1.Locations'!F2:F32,EH25 + 1)</xm:f>
            <x14:dxf>
              <fill>
                <patternFill>
                  <bgColor indexed="52"/>
                </patternFill>
              </fill>
            </x14:dxf>
          </x14:cfRule>
          <xm:sqref>EM25</xm:sqref>
        </x14:conditionalFormatting>
        <x14:conditionalFormatting xmlns:xm="http://schemas.microsoft.com/office/excel/2006/main">
          <x14:cfRule type="expression" priority="702" stopIfTrue="1" id="{ABB46CE8-34B2-425C-8C80-1A978010BEBD}">
            <xm:f>(60 * HOUR(EN25) + MINUTE(EN25)) &gt;(60 * HOUR(INDEX('1.Locations'!G2:G32,EH25 + 1)) +MINUTE(INDEX('1.Locations'!G2:G32,EH25 + 1)))</xm:f>
            <x14:dxf>
              <fill>
                <patternFill>
                  <bgColor indexed="10"/>
                </patternFill>
              </fill>
            </x14:dxf>
          </x14:cfRule>
          <xm:sqref>EN25</xm:sqref>
        </x14:conditionalFormatting>
        <x14:conditionalFormatting xmlns:xm="http://schemas.microsoft.com/office/excel/2006/main">
          <x14:cfRule type="cellIs" priority="703" stopIfTrue="1" operator="lessThan" id="{F32D71E6-3F24-4808-86D1-7F2376A1CDA7}">
            <xm:f>INDEX('1.Locations'!F2:F32,EH26 + 1)</xm:f>
            <x14:dxf>
              <fill>
                <patternFill>
                  <bgColor indexed="52"/>
                </patternFill>
              </fill>
            </x14:dxf>
          </x14:cfRule>
          <xm:sqref>EM26</xm:sqref>
        </x14:conditionalFormatting>
        <x14:conditionalFormatting xmlns:xm="http://schemas.microsoft.com/office/excel/2006/main">
          <x14:cfRule type="expression" priority="704" stopIfTrue="1" id="{80CCA6DE-6D5C-43D4-9428-D12D6AB093DC}">
            <xm:f>(60 * HOUR(EN26) + MINUTE(EN26)) &gt;(60 * HOUR(INDEX('1.Locations'!G2:G32,EH26 + 1)) +MINUTE(INDEX('1.Locations'!G2:G32,EH26 + 1)))</xm:f>
            <x14:dxf>
              <fill>
                <patternFill>
                  <bgColor indexed="10"/>
                </patternFill>
              </fill>
            </x14:dxf>
          </x14:cfRule>
          <xm:sqref>EN26</xm:sqref>
        </x14:conditionalFormatting>
        <x14:conditionalFormatting xmlns:xm="http://schemas.microsoft.com/office/excel/2006/main">
          <x14:cfRule type="cellIs" priority="705" stopIfTrue="1" operator="lessThan" id="{D3206D11-2A06-40F2-8579-00C9ADD38AE5}">
            <xm:f>INDEX('1.Locations'!F2:F32,EH27 + 1)</xm:f>
            <x14:dxf>
              <fill>
                <patternFill>
                  <bgColor indexed="52"/>
                </patternFill>
              </fill>
            </x14:dxf>
          </x14:cfRule>
          <xm:sqref>EM27</xm:sqref>
        </x14:conditionalFormatting>
        <x14:conditionalFormatting xmlns:xm="http://schemas.microsoft.com/office/excel/2006/main">
          <x14:cfRule type="expression" priority="706" stopIfTrue="1" id="{40421426-1BB8-4068-97B6-06D055833DEA}">
            <xm:f>(60 * HOUR(EN27) + MINUTE(EN27)) &gt;(60 * HOUR(INDEX('1.Locations'!G2:G32,EH27 + 1)) +MINUTE(INDEX('1.Locations'!G2:G32,EH27 + 1)))</xm:f>
            <x14:dxf>
              <fill>
                <patternFill>
                  <bgColor indexed="10"/>
                </patternFill>
              </fill>
            </x14:dxf>
          </x14:cfRule>
          <xm:sqref>EN27</xm:sqref>
        </x14:conditionalFormatting>
        <x14:conditionalFormatting xmlns:xm="http://schemas.microsoft.com/office/excel/2006/main">
          <x14:cfRule type="cellIs" priority="707" stopIfTrue="1" operator="lessThan" id="{BF07090D-1E6E-434B-8558-505DAD6274F3}">
            <xm:f>INDEX('1.Locations'!F2:F32,EH28 + 1)</xm:f>
            <x14:dxf>
              <fill>
                <patternFill>
                  <bgColor indexed="52"/>
                </patternFill>
              </fill>
            </x14:dxf>
          </x14:cfRule>
          <xm:sqref>EM28</xm:sqref>
        </x14:conditionalFormatting>
        <x14:conditionalFormatting xmlns:xm="http://schemas.microsoft.com/office/excel/2006/main">
          <x14:cfRule type="expression" priority="708" stopIfTrue="1" id="{A06DBB60-C24C-42A0-B042-30EB17DBEFEC}">
            <xm:f>(60 * HOUR(EN28) + MINUTE(EN28)) &gt;(60 * HOUR(INDEX('1.Locations'!G2:G32,EH28 + 1)) +MINUTE(INDEX('1.Locations'!G2:G32,EH28 + 1)))</xm:f>
            <x14:dxf>
              <fill>
                <patternFill>
                  <bgColor indexed="10"/>
                </patternFill>
              </fill>
            </x14:dxf>
          </x14:cfRule>
          <xm:sqref>EN28</xm:sqref>
        </x14:conditionalFormatting>
        <x14:conditionalFormatting xmlns:xm="http://schemas.microsoft.com/office/excel/2006/main">
          <x14:cfRule type="cellIs" priority="709" stopIfTrue="1" operator="lessThan" id="{8030715E-3A03-4729-9C14-1944C644511C}">
            <xm:f>INDEX('1.Locations'!F2:F32,EH29 + 1)</xm:f>
            <x14:dxf>
              <fill>
                <patternFill>
                  <bgColor indexed="52"/>
                </patternFill>
              </fill>
            </x14:dxf>
          </x14:cfRule>
          <xm:sqref>EM29</xm:sqref>
        </x14:conditionalFormatting>
        <x14:conditionalFormatting xmlns:xm="http://schemas.microsoft.com/office/excel/2006/main">
          <x14:cfRule type="expression" priority="710" stopIfTrue="1" id="{AAA85FAA-6A50-459B-9C7F-B05ADF511975}">
            <xm:f>(60 * HOUR(EN29) + MINUTE(EN29)) &gt;(60 * HOUR(INDEX('1.Locations'!G2:G32,EH29 + 1)) +MINUTE(INDEX('1.Locations'!G2:G32,EH29 + 1)))</xm:f>
            <x14:dxf>
              <fill>
                <patternFill>
                  <bgColor indexed="10"/>
                </patternFill>
              </fill>
            </x14:dxf>
          </x14:cfRule>
          <xm:sqref>EN29</xm:sqref>
        </x14:conditionalFormatting>
        <x14:conditionalFormatting xmlns:xm="http://schemas.microsoft.com/office/excel/2006/main">
          <x14:cfRule type="cellIs" priority="711" stopIfTrue="1" operator="lessThan" id="{3F3BB5B1-74EA-4DE0-8770-BFFDC9F57279}">
            <xm:f>INDEX('1.Locations'!F2:F32,EH30 + 1)</xm:f>
            <x14:dxf>
              <fill>
                <patternFill>
                  <bgColor indexed="52"/>
                </patternFill>
              </fill>
            </x14:dxf>
          </x14:cfRule>
          <xm:sqref>EM30</xm:sqref>
        </x14:conditionalFormatting>
        <x14:conditionalFormatting xmlns:xm="http://schemas.microsoft.com/office/excel/2006/main">
          <x14:cfRule type="expression" priority="712" stopIfTrue="1" id="{B235C5C5-8013-4DDF-8022-1C382A71B572}">
            <xm:f>(60 * HOUR(EN30) + MINUTE(EN30)) &gt;(60 * HOUR(INDEX('1.Locations'!G2:G32,EH30 + 1)) +MINUTE(INDEX('1.Locations'!G2:G32,EH30 + 1)))</xm:f>
            <x14:dxf>
              <fill>
                <patternFill>
                  <bgColor indexed="10"/>
                </patternFill>
              </fill>
            </x14:dxf>
          </x14:cfRule>
          <xm:sqref>EN30</xm:sqref>
        </x14:conditionalFormatting>
        <x14:conditionalFormatting xmlns:xm="http://schemas.microsoft.com/office/excel/2006/main">
          <x14:cfRule type="cellIs" priority="713" stopIfTrue="1" operator="lessThan" id="{3E55E28D-61F7-4457-82D9-3549C8452B00}">
            <xm:f>INDEX('1.Locations'!F2:F32,EH31 + 1)</xm:f>
            <x14:dxf>
              <fill>
                <patternFill>
                  <bgColor indexed="52"/>
                </patternFill>
              </fill>
            </x14:dxf>
          </x14:cfRule>
          <xm:sqref>EM31</xm:sqref>
        </x14:conditionalFormatting>
        <x14:conditionalFormatting xmlns:xm="http://schemas.microsoft.com/office/excel/2006/main">
          <x14:cfRule type="expression" priority="714" stopIfTrue="1" id="{4AF2E6BD-0104-4D2C-8C26-C7004AD632F6}">
            <xm:f>(60 * HOUR(EN31) + MINUTE(EN31)) &gt;(60 * HOUR(INDEX('1.Locations'!G2:G32,EH31 + 1)) +MINUTE(INDEX('1.Locations'!G2:G32,EH31 + 1)))</xm:f>
            <x14:dxf>
              <fill>
                <patternFill>
                  <bgColor indexed="10"/>
                </patternFill>
              </fill>
            </x14:dxf>
          </x14:cfRule>
          <xm:sqref>EN31</xm:sqref>
        </x14:conditionalFormatting>
        <x14:conditionalFormatting xmlns:xm="http://schemas.microsoft.com/office/excel/2006/main">
          <x14:cfRule type="cellIs" priority="715" stopIfTrue="1" operator="lessThan" id="{5ED752EE-7A03-4B56-A362-5DBDD162A4BC}">
            <xm:f>INDEX('1.Locations'!F2:F32,EH32 + 1)</xm:f>
            <x14:dxf>
              <fill>
                <patternFill>
                  <bgColor indexed="52"/>
                </patternFill>
              </fill>
            </x14:dxf>
          </x14:cfRule>
          <xm:sqref>EM32</xm:sqref>
        </x14:conditionalFormatting>
        <x14:conditionalFormatting xmlns:xm="http://schemas.microsoft.com/office/excel/2006/main">
          <x14:cfRule type="expression" priority="716" stopIfTrue="1" id="{00362A97-A6E4-4965-BB40-C5694CC61514}">
            <xm:f>(60 * HOUR(EN32) + MINUTE(EN32)) &gt;(60 * HOUR(INDEX('1.Locations'!G2:G32,EH32 + 1)) +MINUTE(INDEX('1.Locations'!G2:G32,EH32 + 1)))</xm:f>
            <x14:dxf>
              <fill>
                <patternFill>
                  <bgColor indexed="10"/>
                </patternFill>
              </fill>
            </x14:dxf>
          </x14:cfRule>
          <xm:sqref>EN32</xm:sqref>
        </x14:conditionalFormatting>
        <x14:conditionalFormatting xmlns:xm="http://schemas.microsoft.com/office/excel/2006/main">
          <x14:cfRule type="cellIs" priority="717" stopIfTrue="1" operator="lessThan" id="{ADA6ABBC-1FBA-4EE4-9D4E-7B5554EA3272}">
            <xm:f>INDEX('1.Locations'!F2:F32,EH33 + 1)</xm:f>
            <x14:dxf>
              <fill>
                <patternFill>
                  <bgColor indexed="52"/>
                </patternFill>
              </fill>
            </x14:dxf>
          </x14:cfRule>
          <xm:sqref>EM33</xm:sqref>
        </x14:conditionalFormatting>
        <x14:conditionalFormatting xmlns:xm="http://schemas.microsoft.com/office/excel/2006/main">
          <x14:cfRule type="expression" priority="718" stopIfTrue="1" id="{B2AB482B-1B2D-4D84-AFAA-9A93F6C3E590}">
            <xm:f>(60 * HOUR(EN33) + MINUTE(EN33)) &gt;(60 * HOUR(INDEX('1.Locations'!G2:G32,EH33 + 1)) +MINUTE(INDEX('1.Locations'!G2:G32,EH33 + 1)))</xm:f>
            <x14:dxf>
              <fill>
                <patternFill>
                  <bgColor indexed="10"/>
                </patternFill>
              </fill>
            </x14:dxf>
          </x14:cfRule>
          <xm:sqref>EN33</xm:sqref>
        </x14:conditionalFormatting>
        <x14:conditionalFormatting xmlns:xm="http://schemas.microsoft.com/office/excel/2006/main">
          <x14:cfRule type="cellIs" priority="719" stopIfTrue="1" operator="lessThan" id="{59227EB7-DF58-4B2A-85D3-FE125691AC1F}">
            <xm:f>INDEX('1.Locations'!F2:F32,EH34 + 1)</xm:f>
            <x14:dxf>
              <fill>
                <patternFill>
                  <bgColor indexed="52"/>
                </patternFill>
              </fill>
            </x14:dxf>
          </x14:cfRule>
          <xm:sqref>EM34</xm:sqref>
        </x14:conditionalFormatting>
        <x14:conditionalFormatting xmlns:xm="http://schemas.microsoft.com/office/excel/2006/main">
          <x14:cfRule type="expression" priority="720" stopIfTrue="1" id="{2E36EE34-BE16-4704-9F7B-69D8695B6EC4}">
            <xm:f>(60 * HOUR(EN34) + MINUTE(EN34)) &gt;(60 * HOUR(INDEX('1.Locations'!G2:G32,EH34 + 1)) +MINUTE(INDEX('1.Locations'!G2:G32,EH34 + 1)))</xm:f>
            <x14:dxf>
              <fill>
                <patternFill>
                  <bgColor indexed="10"/>
                </patternFill>
              </fill>
            </x14:dxf>
          </x14:cfRule>
          <xm:sqref>EN34</xm:sqref>
        </x14:conditionalFormatting>
        <x14:conditionalFormatting xmlns:xm="http://schemas.microsoft.com/office/excel/2006/main">
          <x14:cfRule type="cellIs" priority="721" stopIfTrue="1" operator="lessThan" id="{F6CE9760-2048-4D2C-A728-1519BAB96735}">
            <xm:f>INDEX('1.Locations'!F2:F32,EH35 + 1)</xm:f>
            <x14:dxf>
              <fill>
                <patternFill>
                  <bgColor indexed="52"/>
                </patternFill>
              </fill>
            </x14:dxf>
          </x14:cfRule>
          <xm:sqref>EM35</xm:sqref>
        </x14:conditionalFormatting>
        <x14:conditionalFormatting xmlns:xm="http://schemas.microsoft.com/office/excel/2006/main">
          <x14:cfRule type="expression" priority="722" stopIfTrue="1" id="{93915F43-B255-451A-AFE0-41EA9BA3D1FE}">
            <xm:f>(60 * HOUR(EN35) + MINUTE(EN35)) &gt;(60 * HOUR(INDEX('1.Locations'!G2:G32,EH35 + 1)) +MINUTE(INDEX('1.Locations'!G2:G32,EH35 + 1)))</xm:f>
            <x14:dxf>
              <fill>
                <patternFill>
                  <bgColor indexed="10"/>
                </patternFill>
              </fill>
            </x14:dxf>
          </x14:cfRule>
          <xm:sqref>EN35</xm:sqref>
        </x14:conditionalFormatting>
        <x14:conditionalFormatting xmlns:xm="http://schemas.microsoft.com/office/excel/2006/main">
          <x14:cfRule type="cellIs" priority="723" stopIfTrue="1" operator="lessThan" id="{53C94F7A-4D34-47A5-8C11-E4FD27C825EF}">
            <xm:f>INDEX('1.Locations'!F2:F32,EH36 + 1)</xm:f>
            <x14:dxf>
              <fill>
                <patternFill>
                  <bgColor indexed="52"/>
                </patternFill>
              </fill>
            </x14:dxf>
          </x14:cfRule>
          <xm:sqref>EM36</xm:sqref>
        </x14:conditionalFormatting>
        <x14:conditionalFormatting xmlns:xm="http://schemas.microsoft.com/office/excel/2006/main">
          <x14:cfRule type="expression" priority="724" stopIfTrue="1" id="{7DF8C338-07C5-4D68-A2F0-AEF5724A01DC}">
            <xm:f>(60 * HOUR(EN36) + MINUTE(EN36)) &gt;(60 * HOUR(INDEX('1.Locations'!G2:G32,EH36 + 1)) +MINUTE(INDEX('1.Locations'!G2:G32,EH36 + 1)))</xm:f>
            <x14:dxf>
              <fill>
                <patternFill>
                  <bgColor indexed="10"/>
                </patternFill>
              </fill>
            </x14:dxf>
          </x14:cfRule>
          <xm:sqref>EN36</xm:sqref>
        </x14:conditionalFormatting>
        <x14:conditionalFormatting xmlns:xm="http://schemas.microsoft.com/office/excel/2006/main">
          <x14:cfRule type="cellIs" priority="725" stopIfTrue="1" operator="greaterThan" id="{D08A487E-0B34-4614-8A03-186F9E841030}">
            <xm:f>'3.Vehicles'!$F$2</xm:f>
            <x14:dxf>
              <fill>
                <patternFill>
                  <bgColor indexed="10"/>
                </patternFill>
              </fill>
            </x14:dxf>
          </x14:cfRule>
          <xm:sqref>EK6:EK36</xm:sqref>
        </x14:conditionalFormatting>
        <x14:conditionalFormatting xmlns:xm="http://schemas.microsoft.com/office/excel/2006/main">
          <x14:cfRule type="cellIs" priority="726" stopIfTrue="1" operator="greaterThan" id="{2D270B6E-0CD9-4215-B1BD-E40B97C72C57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ES5:ES36</xm:sqref>
        </x14:conditionalFormatting>
        <x14:conditionalFormatting xmlns:xm="http://schemas.microsoft.com/office/excel/2006/main">
          <x14:cfRule type="cellIs" priority="728" stopIfTrue="1" operator="greaterThan" id="{87EF9571-349C-42A0-B9AE-02E157609D04}">
            <xm:f>'3.Vehicles'!$H$2</xm:f>
            <x14:dxf>
              <fill>
                <patternFill>
                  <bgColor indexed="10"/>
                </patternFill>
              </fill>
            </x14:dxf>
          </x14:cfRule>
          <xm:sqref>EL6:EL36</xm:sqref>
        </x14:conditionalFormatting>
        <x14:conditionalFormatting xmlns:xm="http://schemas.microsoft.com/office/excel/2006/main">
          <x14:cfRule type="cellIs" priority="729" stopIfTrue="1" operator="greaterThan" id="{84E9B57A-A5A0-430B-898B-B356ACAFB1E6}">
            <xm:f>'3.Vehicles'!$I$2</xm:f>
            <x14:dxf>
              <fill>
                <patternFill>
                  <bgColor indexed="10"/>
                </patternFill>
              </fill>
            </x14:dxf>
          </x14:cfRule>
          <xm:sqref>EO6:EO36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errorTitle="Warning" error="Please select a value from the list available in the selected cell." xr:uid="{0F3E8348-3E2A-41C4-AA94-3743084799BA}">
          <x14:formula1>
            <xm:f>'1.Locations'!$B$2:$B$33</xm:f>
          </x14:formula1>
          <xm:sqref>B6:B36</xm:sqref>
        </x14:dataValidation>
        <x14:dataValidation type="list" allowBlank="1" showInputMessage="1" showErrorMessage="1" errorTitle="Warning" error="Please select a value from the list available in the selected cell." xr:uid="{7C16B131-6567-4151-95EE-837814AD5569}">
          <x14:formula1>
            <xm:f>'1.Locations'!$B$2:$B$33</xm:f>
          </x14:formula1>
          <xm:sqref>Q6:Q36</xm:sqref>
        </x14:dataValidation>
        <x14:dataValidation type="list" allowBlank="1" showInputMessage="1" showErrorMessage="1" errorTitle="Warning" error="Please select a value from the list available in the selected cell." xr:uid="{D17677CD-3DE8-4F90-9374-83CFDC80B5ED}">
          <x14:formula1>
            <xm:f>'1.Locations'!$B$2:$B$33</xm:f>
          </x14:formula1>
          <xm:sqref>AF6:AF36</xm:sqref>
        </x14:dataValidation>
        <x14:dataValidation type="list" allowBlank="1" showInputMessage="1" showErrorMessage="1" errorTitle="Warning" error="Please select a value from the list available in the selected cell." xr:uid="{9C974241-6E1B-4ECC-B4EB-CF2C196924B5}">
          <x14:formula1>
            <xm:f>'1.Locations'!$B$2:$B$33</xm:f>
          </x14:formula1>
          <xm:sqref>AU6:AU36</xm:sqref>
        </x14:dataValidation>
        <x14:dataValidation type="list" allowBlank="1" showInputMessage="1" showErrorMessage="1" errorTitle="Warning" error="Please select a value from the list available in the selected cell." xr:uid="{1B0EBAB2-8D76-44B8-B38A-CA2CEEB8DFB6}">
          <x14:formula1>
            <xm:f>'1.Locations'!$B$2:$B$33</xm:f>
          </x14:formula1>
          <xm:sqref>BJ6:BJ36</xm:sqref>
        </x14:dataValidation>
        <x14:dataValidation type="list" allowBlank="1" showInputMessage="1" showErrorMessage="1" errorTitle="Warning" error="Please select a value from the list available in the selected cell." xr:uid="{AFE62974-6408-4339-AAB9-72AC48DB38DB}">
          <x14:formula1>
            <xm:f>'1.Locations'!$B$2:$B$33</xm:f>
          </x14:formula1>
          <xm:sqref>BY6:BY36</xm:sqref>
        </x14:dataValidation>
        <x14:dataValidation type="list" allowBlank="1" showInputMessage="1" showErrorMessage="1" errorTitle="Warning" error="Please select a value from the list available in the selected cell." xr:uid="{4CDC6933-3729-4668-95B6-0F1E44931E9E}">
          <x14:formula1>
            <xm:f>'1.Locations'!$B$2:$B$33</xm:f>
          </x14:formula1>
          <xm:sqref>CN6:CN36</xm:sqref>
        </x14:dataValidation>
        <x14:dataValidation type="list" allowBlank="1" showInputMessage="1" showErrorMessage="1" errorTitle="Warning" error="Please select a value from the list available in the selected cell." xr:uid="{4D6D4850-02DD-42CC-B741-CE5400BFF179}">
          <x14:formula1>
            <xm:f>'1.Locations'!$B$2:$B$33</xm:f>
          </x14:formula1>
          <xm:sqref>DC6:DC36</xm:sqref>
        </x14:dataValidation>
        <x14:dataValidation type="list" allowBlank="1" showInputMessage="1" showErrorMessage="1" errorTitle="Warning" error="Please select a value from the list available in the selected cell." xr:uid="{F8952AAB-0088-4F2A-BA1F-C82E80271B2B}">
          <x14:formula1>
            <xm:f>'1.Locations'!$B$2:$B$33</xm:f>
          </x14:formula1>
          <xm:sqref>DR6:DR36</xm:sqref>
        </x14:dataValidation>
        <x14:dataValidation type="list" allowBlank="1" showInputMessage="1" showErrorMessage="1" errorTitle="Warning" error="Please select a value from the list available in the selected cell." xr:uid="{9D1BA82C-764A-4479-9CF7-357B74146889}">
          <x14:formula1>
            <xm:f>'1.Locations'!$B$2:$B$33</xm:f>
          </x14:formula1>
          <xm:sqref>EG6:EG36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A8A58-076E-48FB-B212-9F48B8578FE9}">
  <dimension ref="A1"/>
  <sheetViews>
    <sheetView zoomScale="94" zoomScaleNormal="94" workbookViewId="0"/>
  </sheetViews>
  <sheetFormatPr defaultRowHeight="15" x14ac:dyDescent="0.25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tabActivate">
  <ribbon startFromScratch="false">
    <tabs>
      <tab id="VRPSpreadsheetSolver" label="VRP Spreadsheet Solver">
        <group id="customGroup1" label="Reset" autoScale="true">
          <button id="customButton1" label="0. Reset the workbook" imageMso="Delete" size="large" onAction="ResetWorkbookRibbonCall"/>
        </group>
        <group id="customGroup2" label="1.Locations" imageMso="SmallIcons">
          <menu id="menu1" label="1.Locations" imageMso="SmallIcons" size="large">
            <button id="customButton2" label="1.1. Setup Locations Worksheet" imageMso="AdpDiagramAddTable" onAction="SetupLocationsWorksheetRibbonCall"/>
            <button id="customButton3" label="1.2. Populate Lat/Lon using addresses" imageMso="WebPagePreview" onAction="PopulateLatitudeAndLongitudeRibbonCall"/>
            <button id="customButton4" label="1.3. Sort locations alphabetically" imageMso="SortUp" onAction="SortLocationsRibbonCall"/>
          </menu>
        </group>
        <group id="customGroup3" label="2.Distances" imageMso="ObjectEditPoints">
          <menu id="menu2" label="2.Distances" imageMso="ObjectEditPoints" size="large">
            <button id="customButton5" label="2.1. Setup Distances Worksheet" imageMso="AdpDiagramAddTable" onAction="SetupDistancesWorksheetRibbonCall"/>
            <button id="customButton6" label="2.2. Populate Distances Worksheet" imageMso="WebPagePreview" onAction="PopulateDistancesRibbonCall"/>
          </menu>
        </group>
        <group id="customGroup4" label="3.Vehicles">
          <button id="customButton7" label="3. Setup Vehicles Worksheet" imageMso="AdpDiagramAddTable" size="large" onAction="SetupVehiclesWorksheetRibbonCall"/>
        </group>
        <group id="customGroup5" label="4.Solution">
          <button id="customButton8" label="4. Setup Solution Worksheet" imageMso="AdpDiagramAddTable" size="large" onAction="SetupSolutionWorksheetRibbonCall"/>
        </group>
        <group id="customGroup6" label="5.Visualization">
          <button id="customButton9" label="5. Setup Visualization Worksheet" imageMso="ShowTimeZones" size="large" onAction="SetupVisualizationWorksheetRibbonCall"/>
        </group>
        <group id="customGroup7" label="6.Solver" imageMso="AnimationStartDropdown">
          <menu id="menu3" label="6.Solver" imageMso="AnimationStartDropdown" size="large">
            <button id="customButton10" label="6.1. Engage VRP Spreadsheet Solver" imageMso="AnimationStartDropdown" onAction="VRP_Solver_ribbon_call"/>
            <button id="customButton11" label="6.2. Feasibility Check" imageMso="AdvancedFind" onAction="FeasibilityCheckDataAndSolutionRibbonCall"/>
            <button id="customButton12" label="6.3. Engage external solver" imageMso="TableIndexes" onAction="external_vrp_solver_ribbon_call"/>
          </menu>
        </group>
        <group id="customGroup8" label="Info" imageMso="Info">
          <menu id="menu4" label="Info" imageMso="Info" size="large">
            <button id="customButton13" label="Send feedback or ask a question" imageMso="ContactCardSendEmail" onAction="SendFeedbackRibbonCall"/>
            <button id="customButton14" label="Watch the tutorial video on YouTube" imageMso="MovieFromFileInsert" onAction="WatchTutorialRibbonCall"/>
            <button id="customButton15" label="About" imageMso="Info" onAction="AboutRibbonCall"/>
          </menu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VRP Solver Console</vt:lpstr>
      <vt:lpstr>1.Locations</vt:lpstr>
      <vt:lpstr>2.Distances</vt:lpstr>
      <vt:lpstr>3.Vehicles</vt:lpstr>
      <vt:lpstr>4.Solution</vt:lpstr>
      <vt:lpstr>5.Visualization</vt:lpstr>
    </vt:vector>
  </TitlesOfParts>
  <Company>University of Bath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Gunes Erdogan</dc:creator>
  <cp:lastModifiedBy>Taylan Kabbani</cp:lastModifiedBy>
  <dcterms:created xsi:type="dcterms:W3CDTF">2013-07-17T23:20:08Z</dcterms:created>
  <dcterms:modified xsi:type="dcterms:W3CDTF">2020-11-07T07:20:28Z</dcterms:modified>
</cp:coreProperties>
</file>